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042-GesProj2\Application\GitHub\col-go-lo\"/>
    </mc:Choice>
  </mc:AlternateContent>
  <bookViews>
    <workbookView xWindow="0" yWindow="0" windowWidth="18870" windowHeight="7725" activeTab="7"/>
  </bookViews>
  <sheets>
    <sheet name="Donnees" sheetId="7" r:id="rId1"/>
    <sheet name="Diagramme" sheetId="155" r:id="rId2"/>
    <sheet name="DiagramHeader" sheetId="10" state="hidden" r:id="rId3"/>
    <sheet name="DiagramFooter" sheetId="130" state="hidden" r:id="rId4"/>
    <sheet name="PlanificationWeek" sheetId="11" state="hidden" r:id="rId5"/>
    <sheet name="achievementWeek" sheetId="154" state="hidden" r:id="rId6"/>
    <sheet name="Planning" sheetId="157" r:id="rId7"/>
    <sheet name="JNLTRAV" sheetId="156" r:id="rId8"/>
  </sheets>
  <definedNames>
    <definedName name="datDateBegin">Donnees!$C$9</definedName>
    <definedName name="ListTasks">Diagramme!$B$3:$B$26</definedName>
    <definedName name="lstTasks">Donnees!$C$20:$C$45</definedName>
    <definedName name="NbLessons">Diagramme!$C$3:$C$26</definedName>
    <definedName name="NbPerWeek">Donnees!$C$12</definedName>
    <definedName name="NbQuartPer">Donnees!$C$13</definedName>
    <definedName name="NbWeeks">Donnees!$C$11</definedName>
    <definedName name="objFooterDiagram">DiagramFooter!$B$3:$C$4</definedName>
    <definedName name="objPlanifWeek" localSheetId="6">Planning!$A$1:$D$14</definedName>
    <definedName name="objPlanifWeek">PlanificationWeek!$A$1:$D$14</definedName>
    <definedName name="objRealizedWeek" localSheetId="5">achievementWeek!$A$1:$D$19</definedName>
    <definedName name="objRealizedWeek" localSheetId="7">JNLTRAV!$A$1:$D$19</definedName>
    <definedName name="_xlnm.Print_Area" localSheetId="1">Diagramme!$A$1:$BO$29</definedName>
    <definedName name="_xlnm.Print_Area" localSheetId="0">Donnees!$A$1:$G$54</definedName>
    <definedName name="_xlnm.Print_Area" localSheetId="7">JNLTRAV!$A$1:$D$133</definedName>
    <definedName name="_xlnm.Print_Area" localSheetId="6">Planning!$A$1:$D$98</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97" i="157" l="1"/>
  <c r="B83" i="157"/>
  <c r="B69" i="157"/>
  <c r="B55" i="157"/>
  <c r="B41" i="157"/>
  <c r="B27" i="157"/>
  <c r="B13" i="157"/>
  <c r="B132" i="156"/>
  <c r="B113" i="156"/>
  <c r="B94" i="156"/>
  <c r="B75" i="156"/>
  <c r="B56" i="156"/>
  <c r="B37" i="156"/>
  <c r="B18" i="156"/>
  <c r="B25" i="155"/>
  <c r="B23" i="155"/>
  <c r="B21" i="155"/>
  <c r="B19" i="155"/>
  <c r="B17" i="155"/>
  <c r="B15" i="155"/>
  <c r="B13" i="155"/>
  <c r="B11" i="155"/>
  <c r="B9" i="155"/>
  <c r="B7" i="155"/>
  <c r="B5" i="155"/>
  <c r="C28" i="155"/>
  <c r="C27" i="155"/>
  <c r="B18" i="154" l="1"/>
  <c r="B13" i="11"/>
</calcChain>
</file>

<file path=xl/sharedStrings.xml><?xml version="1.0" encoding="utf-8"?>
<sst xmlns="http://schemas.openxmlformats.org/spreadsheetml/2006/main" count="240" uniqueCount="74">
  <si>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</si>
  <si>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</si>
  <si>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</si>
  <si>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</si>
  <si>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</si>
  <si>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</si>
  <si>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</si>
  <si>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</si>
  <si>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</si>
  <si>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</si>
  <si>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</si>
  <si>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</si>
  <si>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</si>
  <si>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</si>
  <si>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</si>
  <si>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</si>
  <si>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</si>
  <si>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</si>
  <si>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</si>
  <si>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</si>
  <si>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</si>
  <si>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</si>
  <si>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</si>
  <si>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</si>
  <si>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P_GestProj2</t>
  </si>
  <si>
    <t>CIN2a</t>
  </si>
  <si>
    <t>ETML</t>
  </si>
  <si>
    <t>Daily Scrum</t>
  </si>
  <si>
    <t>Sprint planning</t>
  </si>
  <si>
    <t>Sprint Review</t>
  </si>
  <si>
    <t>Sprint retrospective</t>
  </si>
  <si>
    <t>Journal de travail</t>
  </si>
  <si>
    <t>MCD/MLD</t>
  </si>
  <si>
    <t>Site</t>
  </si>
  <si>
    <t>Requête SQL</t>
  </si>
  <si>
    <t>PHP</t>
  </si>
  <si>
    <t>Script SQL</t>
  </si>
  <si>
    <t>Documentation</t>
  </si>
  <si>
    <t>S 1</t>
  </si>
  <si>
    <t>S 2</t>
  </si>
  <si>
    <t>S 3</t>
  </si>
  <si>
    <t>S 4</t>
  </si>
  <si>
    <t>S 5</t>
  </si>
  <si>
    <t>S 6</t>
  </si>
  <si>
    <t>S 7</t>
  </si>
  <si>
    <t>Max. 9</t>
  </si>
  <si>
    <t>STOP</t>
  </si>
  <si>
    <t>Explication de GGZ sur l'utilisation de trello</t>
  </si>
  <si>
    <t>Organisation du premier Sprint</t>
  </si>
  <si>
    <t>Création des users story sur trello avec séparation de couleurs pour différencier les groupes de tâches</t>
  </si>
  <si>
    <t>Création du MCD et du MLD de la base de donnée bd_lessoncatalog</t>
  </si>
  <si>
    <t>H:\Application\GestProj2_Catalogue\depot\scriptJMeriseMLD.sql</t>
  </si>
  <si>
    <t>André Gomes</t>
  </si>
  <si>
    <t>Explication de GGZ sur l'utilisation de GitKraken en solo puis en groupe</t>
  </si>
  <si>
    <t>Explication du groupe sur ce qu'on a fait le semaine derniere et se qu'on fait aujourd'hui. Semaine dernière: MCD/MLD créer avec l'organisation sur trello et je compte faire aujourd'hui la création du journal de travail et la fin de l'organisation sur trello avec l'ajout des points Scrum</t>
  </si>
  <si>
    <t>Création d'un journal de travail modèle pour tout le groupe</t>
  </si>
  <si>
    <t>Mise à jour de trello pour l'ajout des points Scum</t>
  </si>
  <si>
    <t>Mise à jour de journal de travail</t>
  </si>
  <si>
    <t>Réunion de groupe plus d'information dans les commentaires du trello sur ce qu'on a fait ce qu'on compte faire et une petite conclusion sur l'avancement</t>
  </si>
  <si>
    <t>Mise à jour du journal de travail</t>
  </si>
  <si>
    <t>Ecoute d'une retrospective d'un autre groupe avec des remarques de GGZ et retrospective de notre groupe pour signaler que tout va bien sur la méthode de travailler et l'entente du groupe</t>
  </si>
  <si>
    <t>Explication devant la classe de notre avancement avec remarque de GGZ: MCD-&gt; OK Journal de travail-&gt; OK Design du site-&gt;Finir les dernières modification avant la validation</t>
  </si>
  <si>
    <t>Changement de certain paramètre des entités: Type du paramètre AVS passer en VARCHAR(20)</t>
  </si>
  <si>
    <t>Continuation de la base de donnée avec ajouts et test de la base de donnée</t>
  </si>
  <si>
    <t>Continuation de la base de donnée avec FCO suite à un problème au niveau du site qui avait des perturbation sur notre dépôt</t>
  </si>
  <si>
    <t>Organisation pour le second Sprint: FCO doit continuer la base de donnée JMZ doit faire la page de création de compte AGS doit créer les pages d'affichages des membres et des informations de l'utilisateur</t>
  </si>
  <si>
    <t>Création de la page "création de compte"  qui permet de créer des comptes pour pouvoir modiffier le navigateur via des sessions grâce à la connexion. Suite de la création de la page de connexion en modiffiant la page créer par JLZ</t>
  </si>
  <si>
    <t>Modiffication des users story en ajoutant les 3C et en pensant à la suite du projet et des changements à venir</t>
  </si>
  <si>
    <t>Sprint retrospective: Nous avons discuté de l'état de l'avancement du projet. Il nous reste à faire 2 pages PHP à finir 2 pages PHP à compléter et à terminer le javascript pour eviter toute erreur dans la base de donnée. Du côter administrative il reste 4 users story à compléter, la burndown chart. Niveau ambiance le groupe s'entend bien. Petit rappel sur l'utilisation des branchs dans GITkraken pour JLZ. Les retard pris dans les users story non terminée du sprint sont du au fait qu'on a du refaire une user story déja terminer à cause d'une mauvaise utilisation de gitkraken sinon aucun autre retard signalé</t>
  </si>
  <si>
    <t>Organisation du dernier sprint -&gt; Repartition des dernière page PHP + les dernier fichiers de documentation</t>
  </si>
  <si>
    <t>Modiffication des pages PHP "Création de compte" pour ajouter les derniers labels. Modification des requêtes SQL pour qu'il envoie les informations du comptes soit dans la création des etudiant ou dans  les informations des enseignants</t>
  </si>
  <si>
    <t>Aide pour les pages d'affichage des listes des cours + les détails</t>
  </si>
  <si>
    <t>Voir User Story " Design du site" et "Information de la base de donnée"</t>
  </si>
  <si>
    <t>Voir User Story " Formulaire création de compte" et "Information de la base de donnée"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</si>
</sst>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2"/>
      <name val="Arial"/>
      <family val="2"/>
    </font>
    <font>
      <sz val="14"/>
      <name val="Arial"/>
      <family val="2"/>
    </font>
    <font>
      <b/>
      <sz val="18"/>
      <name val="Arial"/>
      <family val="2"/>
    </font>
    <font>
      <sz val="10"/>
      <color theme="0"/>
      <name val="Arial"/>
      <family val="2"/>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0">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7" fillId="14" borderId="29" xfId="0" applyFont="1" applyFill="1" applyBorder="1" applyAlignment="1" applyProtection="1">
      <alignment horizontal="center" vertical="center"/>
    </xf>
    <xf numFmtId="0" fontId="17"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1" fillId="12" borderId="13" xfId="0" applyFont="1" applyFill="1" applyBorder="1" applyAlignment="1" applyProtection="1">
      <alignment horizontal="left" vertical="top" wrapText="1"/>
    </xf>
    <xf numFmtId="0" fontId="19" fillId="9" borderId="0" xfId="0" applyFont="1" applyFill="1"/>
    <xf numFmtId="0" fontId="11" fillId="4" borderId="13" xfId="0" applyFont="1" applyFill="1" applyBorder="1" applyAlignment="1" applyProtection="1">
      <alignment horizontal="left" vertical="top" wrapText="1"/>
    </xf>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2" fillId="0" borderId="2" xfId="1" applyFill="1" applyBorder="1" applyAlignment="1" applyProtection="1">
      <alignment horizontal="left" vertical="top" wrapText="1"/>
      <protection locked="0"/>
    </xf>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6" fillId="6" borderId="35" xfId="0" applyNumberFormat="1" applyFont="1" applyFill="1" applyBorder="1" applyAlignment="1" applyProtection="1">
      <alignment vertical="center"/>
    </xf>
    <xf numFmtId="0" fontId="16"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6" fillId="6" borderId="35" xfId="0" applyFont="1" applyFill="1" applyBorder="1" applyAlignment="1" applyProtection="1">
      <alignment vertical="center"/>
    </xf>
    <xf numFmtId="0" fontId="18" fillId="9" borderId="14" xfId="0" applyFont="1" applyFill="1" applyBorder="1" applyAlignment="1" applyProtection="1">
      <alignment horizontal="center" vertical="center"/>
    </xf>
    <xf numFmtId="0" fontId="18" fillId="9" borderId="12" xfId="0" applyFont="1" applyFill="1" applyBorder="1" applyAlignment="1" applyProtection="1">
      <alignment horizontal="center" vertical="center"/>
    </xf>
    <xf numFmtId="0" fontId="18" fillId="9" borderId="13" xfId="0" applyFont="1" applyFill="1" applyBorder="1" applyAlignment="1" applyProtection="1">
      <alignment horizontal="center"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scriptJMeriseMLD.sql" TargetMode="External"/><Relationship Id="rId6" Type="http://schemas.openxmlformats.org/officeDocument/2006/relationships/image" Target="../media/image7.emf"/><Relationship Id="rId5" Type="http://schemas.openxmlformats.org/officeDocument/2006/relationships/control" Target="../activeX/activeX7.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85" zoomScaleNormal="85" workbookViewId="0">
      <selection activeCell="C4" sqref="C4"/>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52</v>
      </c>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42816</v>
      </c>
      <c r="D9" s="37"/>
      <c r="E9" s="37"/>
      <c r="F9" s="37"/>
      <c r="G9" s="34"/>
    </row>
    <row r="10" spans="1:7" ht="19.5" x14ac:dyDescent="0.2">
      <c r="A10" s="42"/>
      <c r="B10" s="22" t="s">
        <v>8</v>
      </c>
      <c r="C10" s="24">
        <v>42872</v>
      </c>
      <c r="D10" s="37"/>
      <c r="E10" s="38"/>
      <c r="F10" s="37"/>
      <c r="G10" s="34"/>
    </row>
    <row r="11" spans="1:7" ht="19.5" x14ac:dyDescent="0.2">
      <c r="A11" s="42"/>
      <c r="B11" s="22" t="s">
        <v>10</v>
      </c>
      <c r="C11" s="28">
        <v>7</v>
      </c>
      <c r="D11" s="37"/>
      <c r="E11" s="37"/>
      <c r="F11" s="37"/>
      <c r="G11" s="34"/>
    </row>
    <row r="12" spans="1:7" ht="19.5" x14ac:dyDescent="0.2">
      <c r="A12" s="42"/>
      <c r="B12" s="3" t="s">
        <v>11</v>
      </c>
      <c r="C12" s="27">
        <v>3</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19" t="s">
        <v>19</v>
      </c>
      <c r="C19" s="120"/>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27</v>
      </c>
      <c r="D22" s="37"/>
      <c r="E22" s="37"/>
      <c r="F22" s="37"/>
      <c r="G22" s="34"/>
    </row>
    <row r="23" spans="1:13" ht="19.5" x14ac:dyDescent="0.2">
      <c r="A23" s="52"/>
      <c r="B23" s="67">
        <v>3</v>
      </c>
      <c r="C23" s="28" t="s">
        <v>29</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7" t="s">
        <v>35</v>
      </c>
      <c r="D28" s="37"/>
      <c r="E28" s="37"/>
      <c r="F28" s="37"/>
      <c r="G28" s="34"/>
    </row>
    <row r="29" spans="1:13" ht="19.5" x14ac:dyDescent="0.2">
      <c r="A29" s="52"/>
      <c r="B29" s="67">
        <v>9</v>
      </c>
      <c r="C29" s="27" t="s">
        <v>34</v>
      </c>
      <c r="D29" s="37"/>
      <c r="E29" s="37"/>
      <c r="F29" s="37"/>
      <c r="G29" s="34"/>
    </row>
    <row r="30" spans="1:13" ht="19.5" x14ac:dyDescent="0.2">
      <c r="A30" s="52"/>
      <c r="B30" s="66">
        <v>10</v>
      </c>
      <c r="C30" s="28" t="s">
        <v>36</v>
      </c>
      <c r="D30" s="37"/>
      <c r="E30" s="37"/>
      <c r="F30" s="37"/>
      <c r="G30" s="34"/>
    </row>
    <row r="31" spans="1:13" ht="19.5" x14ac:dyDescent="0.2">
      <c r="A31" s="52"/>
      <c r="B31" s="66">
        <v>11</v>
      </c>
      <c r="C31" s="28" t="s">
        <v>37</v>
      </c>
      <c r="D31" s="37"/>
      <c r="E31" s="37"/>
      <c r="F31" s="37"/>
      <c r="G31" s="34"/>
      <c r="H31" s="1"/>
      <c r="I31" s="1"/>
      <c r="J31" s="1"/>
      <c r="K31" s="1"/>
      <c r="L31" s="1"/>
      <c r="M31" s="1"/>
    </row>
    <row r="32" spans="1:13" ht="19.5" x14ac:dyDescent="0.2">
      <c r="A32" s="52"/>
      <c r="B32" s="67">
        <v>12</v>
      </c>
      <c r="C32" s="28"/>
      <c r="D32" s="37"/>
      <c r="E32" s="37"/>
      <c r="F32" s="37"/>
      <c r="G32" s="34"/>
      <c r="H32" s="1"/>
      <c r="I32" s="1"/>
      <c r="J32" s="1"/>
      <c r="K32" s="1"/>
      <c r="L32" s="1"/>
      <c r="M32" s="1"/>
    </row>
    <row r="33" spans="1:13" ht="19.5" x14ac:dyDescent="0.2">
      <c r="A33" s="52"/>
      <c r="B33" s="66">
        <v>13</v>
      </c>
      <c r="C33" s="28"/>
      <c r="D33" s="37"/>
      <c r="E33" s="37"/>
      <c r="F33" s="37"/>
      <c r="G33" s="34"/>
      <c r="H33" s="1"/>
      <c r="I33" s="1"/>
      <c r="J33" s="1"/>
      <c r="K33" s="1"/>
      <c r="L33" s="1"/>
      <c r="M33" s="1"/>
    </row>
    <row r="34" spans="1:13" ht="19.5" x14ac:dyDescent="0.2">
      <c r="A34" s="52"/>
      <c r="B34" s="66">
        <v>14</v>
      </c>
      <c r="C34" s="27"/>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9525</xdr:colOff>
                <xdr:row>8</xdr:row>
                <xdr:rowOff>190500</xdr:rowOff>
              </from>
              <to>
                <xdr:col>6</xdr:col>
                <xdr:colOff>133350</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9525</xdr:colOff>
                <xdr:row>5</xdr:row>
                <xdr:rowOff>9525</xdr:rowOff>
              </from>
              <to>
                <xdr:col>6</xdr:col>
                <xdr:colOff>114300</xdr:colOff>
                <xdr:row>7</xdr:row>
                <xdr:rowOff>66675</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BN28"/>
  <sheetViews>
    <sheetView view="pageBreakPreview" zoomScale="60" zoomScaleNormal="100" workbookViewId="0">
      <selection activeCell="B1" sqref="B1"/>
    </sheetView>
  </sheetViews>
  <sheetFormatPr baseColWidth="10" defaultColWidth="1.5703125" defaultRowHeight="19.5" customHeight="1" x14ac:dyDescent="0.2"/>
  <cols>
    <col min="1" max="1" width="17.85546875" style="83" customWidth="1"/>
    <col min="2" max="2" width="51.28515625" style="83" customWidth="1"/>
    <col min="3" max="3" width="19.42578125" style="83" customWidth="1"/>
    <col min="4" max="16384" width="1.5703125" style="83"/>
  </cols>
  <sheetData>
    <row r="1" spans="1:66" ht="13.5" thickBot="1" x14ac:dyDescent="0.25">
      <c r="B1" s="84"/>
      <c r="C1" s="84"/>
    </row>
    <row r="2" spans="1:66" ht="42.75" customHeight="1" thickBot="1" x14ac:dyDescent="0.25">
      <c r="A2" s="85"/>
      <c r="B2" s="45" t="s">
        <v>5</v>
      </c>
      <c r="C2" s="29" t="s">
        <v>18</v>
      </c>
      <c r="D2" s="126" t="s">
        <v>38</v>
      </c>
      <c r="E2" s="127"/>
      <c r="F2" s="127"/>
      <c r="G2" s="127"/>
      <c r="H2" s="127"/>
      <c r="I2" s="127"/>
      <c r="J2" s="127"/>
      <c r="K2" s="127"/>
      <c r="L2" s="128"/>
      <c r="M2" s="126" t="s">
        <v>39</v>
      </c>
      <c r="N2" s="127"/>
      <c r="O2" s="127"/>
      <c r="P2" s="127"/>
      <c r="Q2" s="127"/>
      <c r="R2" s="127"/>
      <c r="S2" s="127"/>
      <c r="T2" s="127"/>
      <c r="U2" s="128"/>
      <c r="V2" s="126" t="s">
        <v>40</v>
      </c>
      <c r="W2" s="127"/>
      <c r="X2" s="127"/>
      <c r="Y2" s="127"/>
      <c r="Z2" s="127"/>
      <c r="AA2" s="127"/>
      <c r="AB2" s="127"/>
      <c r="AC2" s="127"/>
      <c r="AD2" s="128"/>
      <c r="AE2" s="126" t="s">
        <v>41</v>
      </c>
      <c r="AF2" s="127"/>
      <c r="AG2" s="127"/>
      <c r="AH2" s="127"/>
      <c r="AI2" s="127"/>
      <c r="AJ2" s="127"/>
      <c r="AK2" s="127"/>
      <c r="AL2" s="127"/>
      <c r="AM2" s="128"/>
      <c r="AN2" s="126" t="s">
        <v>42</v>
      </c>
      <c r="AO2" s="127"/>
      <c r="AP2" s="127"/>
      <c r="AQ2" s="127"/>
      <c r="AR2" s="127"/>
      <c r="AS2" s="127"/>
      <c r="AT2" s="127"/>
      <c r="AU2" s="127"/>
      <c r="AV2" s="128"/>
      <c r="AW2" s="126" t="s">
        <v>43</v>
      </c>
      <c r="AX2" s="127"/>
      <c r="AY2" s="127"/>
      <c r="AZ2" s="127"/>
      <c r="BA2" s="127"/>
      <c r="BB2" s="127"/>
      <c r="BC2" s="127"/>
      <c r="BD2" s="127"/>
      <c r="BE2" s="128"/>
      <c r="BF2" s="126" t="s">
        <v>44</v>
      </c>
      <c r="BG2" s="127"/>
      <c r="BH2" s="127"/>
      <c r="BI2" s="127"/>
      <c r="BJ2" s="127"/>
      <c r="BK2" s="127"/>
      <c r="BL2" s="127"/>
      <c r="BM2" s="127"/>
      <c r="BN2" s="128"/>
    </row>
    <row r="3" spans="1:66" ht="19.5" customHeight="1" x14ac:dyDescent="0.2">
      <c r="A3" s="85"/>
      <c r="B3" s="123" t="s">
        <v>21</v>
      </c>
      <c r="C3" s="30">
        <v>6</v>
      </c>
      <c r="D3" s="108"/>
      <c r="E3" s="109"/>
      <c r="F3" s="110"/>
      <c r="G3" s="89"/>
      <c r="H3" s="87"/>
      <c r="I3" s="88"/>
      <c r="J3" s="89"/>
      <c r="K3" s="87"/>
      <c r="L3" s="90"/>
      <c r="M3" s="108"/>
      <c r="N3" s="109"/>
      <c r="O3" s="110"/>
      <c r="P3" s="89"/>
      <c r="Q3" s="87"/>
      <c r="R3" s="88"/>
      <c r="S3" s="89"/>
      <c r="T3" s="87"/>
      <c r="U3" s="90"/>
      <c r="V3" s="86"/>
      <c r="W3" s="87"/>
      <c r="X3" s="88"/>
      <c r="Y3" s="89"/>
      <c r="Z3" s="87"/>
      <c r="AA3" s="88"/>
      <c r="AB3" s="89"/>
      <c r="AC3" s="87"/>
      <c r="AD3" s="90"/>
      <c r="AE3" s="86"/>
      <c r="AF3" s="87"/>
      <c r="AG3" s="88"/>
      <c r="AH3" s="89"/>
      <c r="AI3" s="87"/>
      <c r="AJ3" s="88"/>
      <c r="AK3" s="89"/>
      <c r="AL3" s="87"/>
      <c r="AM3" s="90"/>
      <c r="AN3" s="86"/>
      <c r="AO3" s="87"/>
      <c r="AP3" s="88"/>
      <c r="AQ3" s="89"/>
      <c r="AR3" s="87"/>
      <c r="AS3" s="88"/>
      <c r="AT3" s="89"/>
      <c r="AU3" s="87"/>
      <c r="AV3" s="90"/>
      <c r="AW3" s="86"/>
      <c r="AX3" s="87"/>
      <c r="AY3" s="88"/>
      <c r="AZ3" s="89"/>
      <c r="BA3" s="87"/>
      <c r="BB3" s="88"/>
      <c r="BC3" s="89"/>
      <c r="BD3" s="87"/>
      <c r="BE3" s="90"/>
      <c r="BF3" s="86"/>
      <c r="BG3" s="87"/>
      <c r="BH3" s="88"/>
      <c r="BI3" s="89"/>
      <c r="BJ3" s="87"/>
      <c r="BK3" s="88"/>
      <c r="BL3" s="89"/>
      <c r="BM3" s="87"/>
      <c r="BN3" s="90"/>
    </row>
    <row r="4" spans="1:66" ht="19.5" customHeight="1" thickBot="1" x14ac:dyDescent="0.25">
      <c r="A4" s="85"/>
      <c r="B4" s="124"/>
      <c r="C4" s="44">
        <v>6</v>
      </c>
      <c r="D4" s="114"/>
      <c r="E4" s="115"/>
      <c r="F4" s="116"/>
      <c r="G4" s="94"/>
      <c r="H4" s="92"/>
      <c r="I4" s="93"/>
      <c r="J4" s="94"/>
      <c r="K4" s="92"/>
      <c r="L4" s="95"/>
      <c r="M4" s="114"/>
      <c r="N4" s="115"/>
      <c r="O4" s="116"/>
      <c r="P4" s="94"/>
      <c r="Q4" s="92"/>
      <c r="R4" s="93"/>
      <c r="S4" s="94"/>
      <c r="T4" s="92"/>
      <c r="U4" s="95"/>
      <c r="V4" s="91"/>
      <c r="W4" s="92"/>
      <c r="X4" s="93"/>
      <c r="Y4" s="94"/>
      <c r="Z4" s="92"/>
      <c r="AA4" s="93"/>
      <c r="AB4" s="94"/>
      <c r="AC4" s="92"/>
      <c r="AD4" s="95"/>
      <c r="AE4" s="91"/>
      <c r="AF4" s="92"/>
      <c r="AG4" s="93"/>
      <c r="AH4" s="94"/>
      <c r="AI4" s="92"/>
      <c r="AJ4" s="93"/>
      <c r="AK4" s="94"/>
      <c r="AL4" s="92"/>
      <c r="AM4" s="95"/>
      <c r="AN4" s="91"/>
      <c r="AO4" s="92"/>
      <c r="AP4" s="93"/>
      <c r="AQ4" s="94"/>
      <c r="AR4" s="92"/>
      <c r="AS4" s="93"/>
      <c r="AT4" s="94"/>
      <c r="AU4" s="92"/>
      <c r="AV4" s="95"/>
      <c r="AW4" s="91"/>
      <c r="AX4" s="92"/>
      <c r="AY4" s="93"/>
      <c r="AZ4" s="94"/>
      <c r="BA4" s="92"/>
      <c r="BB4" s="93"/>
      <c r="BC4" s="94"/>
      <c r="BD4" s="92"/>
      <c r="BE4" s="95"/>
      <c r="BF4" s="91"/>
      <c r="BG4" s="92"/>
      <c r="BH4" s="93"/>
      <c r="BI4" s="94"/>
      <c r="BJ4" s="92"/>
      <c r="BK4" s="93"/>
      <c r="BL4" s="94"/>
      <c r="BM4" s="92"/>
      <c r="BN4" s="95"/>
    </row>
    <row r="5" spans="1:66" ht="19.5" customHeight="1" x14ac:dyDescent="0.2">
      <c r="B5" s="125" t="str">
        <f>Donnees!$C$21</f>
        <v>Sprint planning</v>
      </c>
      <c r="C5" s="96">
        <v>5</v>
      </c>
      <c r="D5" s="86"/>
      <c r="E5" s="87"/>
      <c r="F5" s="88"/>
      <c r="G5" s="111"/>
      <c r="H5" s="87"/>
      <c r="I5" s="88"/>
      <c r="J5" s="89"/>
      <c r="K5" s="87"/>
      <c r="L5" s="90"/>
      <c r="M5" s="86"/>
      <c r="N5" s="87"/>
      <c r="O5" s="88"/>
      <c r="P5" s="89"/>
      <c r="Q5" s="87"/>
      <c r="R5" s="88"/>
      <c r="S5" s="89"/>
      <c r="T5" s="87"/>
      <c r="U5" s="90"/>
      <c r="V5" s="86"/>
      <c r="W5" s="87"/>
      <c r="X5" s="88"/>
      <c r="Y5" s="89"/>
      <c r="Z5" s="87"/>
      <c r="AA5" s="88"/>
      <c r="AB5" s="89"/>
      <c r="AC5" s="87"/>
      <c r="AD5" s="90"/>
      <c r="AE5" s="108"/>
      <c r="AF5" s="109"/>
      <c r="AG5" s="88"/>
      <c r="AH5" s="89"/>
      <c r="AI5" s="87"/>
      <c r="AJ5" s="88"/>
      <c r="AK5" s="89"/>
      <c r="AL5" s="87"/>
      <c r="AM5" s="90"/>
      <c r="AN5" s="108"/>
      <c r="AO5" s="87"/>
      <c r="AP5" s="88"/>
      <c r="AQ5" s="89"/>
      <c r="AR5" s="87"/>
      <c r="AS5" s="88"/>
      <c r="AT5" s="89"/>
      <c r="AU5" s="87"/>
      <c r="AV5" s="90"/>
      <c r="AW5" s="108"/>
      <c r="AX5" s="87"/>
      <c r="AY5" s="88"/>
      <c r="AZ5" s="89"/>
      <c r="BA5" s="87"/>
      <c r="BB5" s="88"/>
      <c r="BC5" s="89"/>
      <c r="BD5" s="87"/>
      <c r="BE5" s="90"/>
      <c r="BF5" s="86"/>
      <c r="BG5" s="87"/>
      <c r="BH5" s="88"/>
      <c r="BI5" s="89"/>
      <c r="BJ5" s="87"/>
      <c r="BK5" s="88"/>
      <c r="BL5" s="89"/>
      <c r="BM5" s="87"/>
      <c r="BN5" s="90"/>
    </row>
    <row r="6" spans="1:66" ht="19.5" customHeight="1" thickBot="1" x14ac:dyDescent="0.25">
      <c r="B6" s="122"/>
      <c r="C6" s="97">
        <v>4</v>
      </c>
      <c r="D6" s="91"/>
      <c r="E6" s="92"/>
      <c r="F6" s="93"/>
      <c r="G6" s="117"/>
      <c r="H6" s="92"/>
      <c r="I6" s="93"/>
      <c r="J6" s="94"/>
      <c r="K6" s="92"/>
      <c r="L6" s="95"/>
      <c r="M6" s="91"/>
      <c r="N6" s="92"/>
      <c r="O6" s="93"/>
      <c r="P6" s="94"/>
      <c r="Q6" s="92"/>
      <c r="R6" s="93"/>
      <c r="S6" s="94"/>
      <c r="T6" s="92"/>
      <c r="U6" s="95"/>
      <c r="V6" s="91"/>
      <c r="W6" s="92"/>
      <c r="X6" s="93"/>
      <c r="Y6" s="94"/>
      <c r="Z6" s="92"/>
      <c r="AA6" s="93"/>
      <c r="AB6" s="94"/>
      <c r="AC6" s="92"/>
      <c r="AD6" s="95"/>
      <c r="AE6" s="114"/>
      <c r="AF6" s="115"/>
      <c r="AG6" s="93"/>
      <c r="AH6" s="94"/>
      <c r="AI6" s="92"/>
      <c r="AJ6" s="93"/>
      <c r="AK6" s="94"/>
      <c r="AL6" s="92"/>
      <c r="AM6" s="95"/>
      <c r="AN6" s="114"/>
      <c r="AO6" s="92"/>
      <c r="AP6" s="93"/>
      <c r="AQ6" s="94"/>
      <c r="AR6" s="92"/>
      <c r="AS6" s="93"/>
      <c r="AT6" s="94"/>
      <c r="AU6" s="92"/>
      <c r="AV6" s="95"/>
      <c r="AW6" s="91"/>
      <c r="AX6" s="92"/>
      <c r="AY6" s="93"/>
      <c r="AZ6" s="94"/>
      <c r="BA6" s="92"/>
      <c r="BB6" s="93"/>
      <c r="BC6" s="94"/>
      <c r="BD6" s="92"/>
      <c r="BE6" s="95"/>
      <c r="BF6" s="91"/>
      <c r="BG6" s="92"/>
      <c r="BH6" s="93"/>
      <c r="BI6" s="94"/>
      <c r="BJ6" s="92"/>
      <c r="BK6" s="93"/>
      <c r="BL6" s="94"/>
      <c r="BM6" s="92"/>
      <c r="BN6" s="95"/>
    </row>
    <row r="7" spans="1:66" ht="19.5" customHeight="1" x14ac:dyDescent="0.2">
      <c r="B7" s="121" t="str">
        <f>Donnees!$C$22</f>
        <v>Daily Scrum</v>
      </c>
      <c r="C7" s="96">
        <v>2</v>
      </c>
      <c r="D7" s="86"/>
      <c r="E7" s="87"/>
      <c r="F7" s="88"/>
      <c r="G7" s="89"/>
      <c r="H7" s="87"/>
      <c r="I7" s="88"/>
      <c r="J7" s="89"/>
      <c r="K7" s="87"/>
      <c r="L7" s="90"/>
      <c r="M7" s="86"/>
      <c r="N7" s="87"/>
      <c r="O7" s="88"/>
      <c r="P7" s="111"/>
      <c r="Q7" s="87"/>
      <c r="R7" s="88"/>
      <c r="S7" s="89"/>
      <c r="T7" s="87"/>
      <c r="U7" s="90"/>
      <c r="V7" s="108"/>
      <c r="W7" s="87"/>
      <c r="X7" s="88"/>
      <c r="Y7" s="89"/>
      <c r="Z7" s="87"/>
      <c r="AA7" s="88"/>
      <c r="AB7" s="89"/>
      <c r="AC7" s="87"/>
      <c r="AD7" s="90"/>
      <c r="AE7" s="86"/>
      <c r="AF7" s="87"/>
      <c r="AG7" s="88"/>
      <c r="AH7" s="89"/>
      <c r="AI7" s="87"/>
      <c r="AJ7" s="88"/>
      <c r="AK7" s="89"/>
      <c r="AL7" s="87"/>
      <c r="AM7" s="90"/>
      <c r="AN7" s="86"/>
      <c r="AO7" s="87"/>
      <c r="AP7" s="88"/>
      <c r="AQ7" s="89"/>
      <c r="AR7" s="87"/>
      <c r="AS7" s="88"/>
      <c r="AT7" s="89"/>
      <c r="AU7" s="87"/>
      <c r="AV7" s="90"/>
      <c r="AW7" s="86"/>
      <c r="AX7" s="87"/>
      <c r="AY7" s="88"/>
      <c r="AZ7" s="89"/>
      <c r="BA7" s="87"/>
      <c r="BB7" s="88"/>
      <c r="BC7" s="89"/>
      <c r="BD7" s="87"/>
      <c r="BE7" s="90"/>
      <c r="BF7" s="86"/>
      <c r="BG7" s="87"/>
      <c r="BH7" s="88"/>
      <c r="BI7" s="89"/>
      <c r="BJ7" s="87"/>
      <c r="BK7" s="88"/>
      <c r="BL7" s="89"/>
      <c r="BM7" s="87"/>
      <c r="BN7" s="90"/>
    </row>
    <row r="8" spans="1:66" ht="19.5" customHeight="1" thickBot="1" x14ac:dyDescent="0.25">
      <c r="B8" s="122"/>
      <c r="C8" s="97">
        <v>2</v>
      </c>
      <c r="D8" s="91"/>
      <c r="E8" s="92"/>
      <c r="F8" s="93"/>
      <c r="G8" s="94"/>
      <c r="H8" s="92"/>
      <c r="I8" s="93"/>
      <c r="J8" s="94"/>
      <c r="K8" s="92"/>
      <c r="L8" s="95"/>
      <c r="M8" s="91"/>
      <c r="N8" s="92"/>
      <c r="O8" s="93"/>
      <c r="P8" s="117"/>
      <c r="Q8" s="92"/>
      <c r="R8" s="93"/>
      <c r="S8" s="94"/>
      <c r="T8" s="92"/>
      <c r="U8" s="95"/>
      <c r="V8" s="114"/>
      <c r="W8" s="92"/>
      <c r="X8" s="93"/>
      <c r="Y8" s="94"/>
      <c r="Z8" s="92"/>
      <c r="AA8" s="93"/>
      <c r="AB8" s="94"/>
      <c r="AC8" s="92"/>
      <c r="AD8" s="95"/>
      <c r="AE8" s="91"/>
      <c r="AF8" s="92"/>
      <c r="AG8" s="93"/>
      <c r="AH8" s="94"/>
      <c r="AI8" s="92"/>
      <c r="AJ8" s="93"/>
      <c r="AK8" s="94"/>
      <c r="AL8" s="92"/>
      <c r="AM8" s="95"/>
      <c r="AN8" s="91"/>
      <c r="AO8" s="92"/>
      <c r="AP8" s="93"/>
      <c r="AQ8" s="94"/>
      <c r="AR8" s="92"/>
      <c r="AS8" s="93"/>
      <c r="AT8" s="94"/>
      <c r="AU8" s="92"/>
      <c r="AV8" s="95"/>
      <c r="AW8" s="91"/>
      <c r="AX8" s="92"/>
      <c r="AY8" s="93"/>
      <c r="AZ8" s="94"/>
      <c r="BA8" s="92"/>
      <c r="BB8" s="93"/>
      <c r="BC8" s="94"/>
      <c r="BD8" s="92"/>
      <c r="BE8" s="95"/>
      <c r="BF8" s="91"/>
      <c r="BG8" s="92"/>
      <c r="BH8" s="93"/>
      <c r="BI8" s="94"/>
      <c r="BJ8" s="92"/>
      <c r="BK8" s="93"/>
      <c r="BL8" s="94"/>
      <c r="BM8" s="92"/>
      <c r="BN8" s="95"/>
    </row>
    <row r="9" spans="1:66" ht="19.5" customHeight="1" x14ac:dyDescent="0.2">
      <c r="B9" s="121" t="str">
        <f>Donnees!$C$23</f>
        <v>Sprint Review</v>
      </c>
      <c r="C9" s="96">
        <v>1</v>
      </c>
      <c r="D9" s="86"/>
      <c r="E9" s="87"/>
      <c r="F9" s="88"/>
      <c r="G9" s="89"/>
      <c r="H9" s="87"/>
      <c r="I9" s="88"/>
      <c r="J9" s="89"/>
      <c r="K9" s="87"/>
      <c r="L9" s="90"/>
      <c r="M9" s="86"/>
      <c r="N9" s="87"/>
      <c r="O9" s="88"/>
      <c r="P9" s="89"/>
      <c r="Q9" s="87"/>
      <c r="R9" s="88"/>
      <c r="S9" s="89"/>
      <c r="T9" s="87"/>
      <c r="U9" s="90"/>
      <c r="V9" s="86"/>
      <c r="W9" s="87"/>
      <c r="X9" s="88"/>
      <c r="Y9" s="89"/>
      <c r="Z9" s="87"/>
      <c r="AA9" s="88"/>
      <c r="AB9" s="111"/>
      <c r="AC9" s="87"/>
      <c r="AD9" s="90"/>
      <c r="AE9" s="86"/>
      <c r="AF9" s="87"/>
      <c r="AG9" s="88"/>
      <c r="AH9" s="89"/>
      <c r="AI9" s="87"/>
      <c r="AJ9" s="88"/>
      <c r="AK9" s="89"/>
      <c r="AL9" s="87"/>
      <c r="AM9" s="90"/>
      <c r="AN9" s="86"/>
      <c r="AO9" s="87"/>
      <c r="AP9" s="88"/>
      <c r="AQ9" s="89"/>
      <c r="AR9" s="87"/>
      <c r="AS9" s="88"/>
      <c r="AT9" s="89"/>
      <c r="AU9" s="87"/>
      <c r="AV9" s="90"/>
      <c r="AW9" s="86"/>
      <c r="AX9" s="87"/>
      <c r="AY9" s="88"/>
      <c r="AZ9" s="89"/>
      <c r="BA9" s="87"/>
      <c r="BB9" s="88"/>
      <c r="BC9" s="89"/>
      <c r="BD9" s="87"/>
      <c r="BE9" s="90"/>
      <c r="BF9" s="86"/>
      <c r="BG9" s="87"/>
      <c r="BH9" s="88"/>
      <c r="BI9" s="89"/>
      <c r="BJ9" s="87"/>
      <c r="BK9" s="88"/>
      <c r="BL9" s="89"/>
      <c r="BM9" s="87"/>
      <c r="BN9" s="90"/>
    </row>
    <row r="10" spans="1:66" ht="19.5" customHeight="1" thickBot="1" x14ac:dyDescent="0.25">
      <c r="B10" s="122"/>
      <c r="C10" s="97">
        <v>1</v>
      </c>
      <c r="D10" s="91"/>
      <c r="E10" s="92"/>
      <c r="F10" s="93"/>
      <c r="G10" s="94"/>
      <c r="H10" s="92"/>
      <c r="I10" s="93"/>
      <c r="J10" s="94"/>
      <c r="K10" s="92"/>
      <c r="L10" s="95"/>
      <c r="M10" s="91"/>
      <c r="N10" s="92"/>
      <c r="O10" s="93"/>
      <c r="P10" s="94"/>
      <c r="Q10" s="92"/>
      <c r="R10" s="93"/>
      <c r="S10" s="94"/>
      <c r="T10" s="92"/>
      <c r="U10" s="95"/>
      <c r="V10" s="91"/>
      <c r="W10" s="92"/>
      <c r="X10" s="93"/>
      <c r="Y10" s="94"/>
      <c r="Z10" s="92"/>
      <c r="AA10" s="93"/>
      <c r="AB10" s="117"/>
      <c r="AC10" s="92"/>
      <c r="AD10" s="95"/>
      <c r="AE10" s="91"/>
      <c r="AF10" s="92"/>
      <c r="AG10" s="93"/>
      <c r="AH10" s="94"/>
      <c r="AI10" s="92"/>
      <c r="AJ10" s="93"/>
      <c r="AK10" s="94"/>
      <c r="AL10" s="92"/>
      <c r="AM10" s="95"/>
      <c r="AN10" s="91"/>
      <c r="AO10" s="92"/>
      <c r="AP10" s="93"/>
      <c r="AQ10" s="94"/>
      <c r="AR10" s="92"/>
      <c r="AS10" s="93"/>
      <c r="AT10" s="94"/>
      <c r="AU10" s="92"/>
      <c r="AV10" s="95"/>
      <c r="AW10" s="91"/>
      <c r="AX10" s="92"/>
      <c r="AY10" s="93"/>
      <c r="AZ10" s="94"/>
      <c r="BA10" s="92"/>
      <c r="BB10" s="93"/>
      <c r="BC10" s="94"/>
      <c r="BD10" s="92"/>
      <c r="BE10" s="95"/>
      <c r="BF10" s="91"/>
      <c r="BG10" s="92"/>
      <c r="BH10" s="93"/>
      <c r="BI10" s="94"/>
      <c r="BJ10" s="92"/>
      <c r="BK10" s="93"/>
      <c r="BL10" s="94"/>
      <c r="BM10" s="92"/>
      <c r="BN10" s="95"/>
    </row>
    <row r="11" spans="1:66" ht="19.5" customHeight="1" x14ac:dyDescent="0.2">
      <c r="B11" s="121" t="str">
        <f>Donnees!$C$24</f>
        <v>Sprint retrospective</v>
      </c>
      <c r="C11" s="96">
        <v>1</v>
      </c>
      <c r="D11" s="86"/>
      <c r="E11" s="87"/>
      <c r="F11" s="88"/>
      <c r="G11" s="89"/>
      <c r="H11" s="87"/>
      <c r="I11" s="88"/>
      <c r="J11" s="89"/>
      <c r="K11" s="87"/>
      <c r="L11" s="90"/>
      <c r="M11" s="86"/>
      <c r="N11" s="87"/>
      <c r="O11" s="88"/>
      <c r="P11" s="89"/>
      <c r="Q11" s="87"/>
      <c r="R11" s="88"/>
      <c r="S11" s="89"/>
      <c r="T11" s="87"/>
      <c r="U11" s="90"/>
      <c r="V11" s="86"/>
      <c r="W11" s="87"/>
      <c r="X11" s="88"/>
      <c r="Y11" s="89"/>
      <c r="Z11" s="87"/>
      <c r="AA11" s="88"/>
      <c r="AB11" s="89"/>
      <c r="AC11" s="109"/>
      <c r="AD11" s="90"/>
      <c r="AE11" s="86"/>
      <c r="AF11" s="87"/>
      <c r="AG11" s="88"/>
      <c r="AH11" s="89"/>
      <c r="AI11" s="87"/>
      <c r="AJ11" s="88"/>
      <c r="AK11" s="89"/>
      <c r="AL11" s="87"/>
      <c r="AM11" s="90"/>
      <c r="AN11" s="86"/>
      <c r="AO11" s="87"/>
      <c r="AP11" s="88"/>
      <c r="AQ11" s="89"/>
      <c r="AR11" s="87"/>
      <c r="AS11" s="88"/>
      <c r="AT11" s="89"/>
      <c r="AU11" s="87"/>
      <c r="AV11" s="90"/>
      <c r="AW11" s="86"/>
      <c r="AX11" s="87"/>
      <c r="AY11" s="88"/>
      <c r="AZ11" s="89"/>
      <c r="BA11" s="87"/>
      <c r="BB11" s="88"/>
      <c r="BC11" s="89"/>
      <c r="BD11" s="87"/>
      <c r="BE11" s="90"/>
      <c r="BF11" s="86"/>
      <c r="BG11" s="87"/>
      <c r="BH11" s="88"/>
      <c r="BI11" s="89"/>
      <c r="BJ11" s="87"/>
      <c r="BK11" s="88"/>
      <c r="BL11" s="89"/>
      <c r="BM11" s="87"/>
      <c r="BN11" s="90"/>
    </row>
    <row r="12" spans="1:66" ht="19.5" customHeight="1" thickBot="1" x14ac:dyDescent="0.25">
      <c r="B12" s="122"/>
      <c r="C12" s="97">
        <v>1</v>
      </c>
      <c r="D12" s="91"/>
      <c r="E12" s="92"/>
      <c r="F12" s="93"/>
      <c r="G12" s="94"/>
      <c r="H12" s="92"/>
      <c r="I12" s="93"/>
      <c r="J12" s="94"/>
      <c r="K12" s="92"/>
      <c r="L12" s="95"/>
      <c r="M12" s="91"/>
      <c r="N12" s="92"/>
      <c r="O12" s="93"/>
      <c r="P12" s="94"/>
      <c r="Q12" s="92"/>
      <c r="R12" s="93"/>
      <c r="S12" s="94"/>
      <c r="T12" s="92"/>
      <c r="U12" s="95"/>
      <c r="V12" s="91"/>
      <c r="W12" s="92"/>
      <c r="X12" s="93"/>
      <c r="Y12" s="94"/>
      <c r="Z12" s="92"/>
      <c r="AA12" s="93"/>
      <c r="AB12" s="94"/>
      <c r="AC12" s="115"/>
      <c r="AD12" s="95"/>
      <c r="AE12" s="91"/>
      <c r="AF12" s="92"/>
      <c r="AG12" s="93"/>
      <c r="AH12" s="94"/>
      <c r="AI12" s="92"/>
      <c r="AJ12" s="93"/>
      <c r="AK12" s="94"/>
      <c r="AL12" s="92"/>
      <c r="AM12" s="95"/>
      <c r="AN12" s="91"/>
      <c r="AO12" s="92"/>
      <c r="AP12" s="93"/>
      <c r="AQ12" s="94"/>
      <c r="AR12" s="92"/>
      <c r="AS12" s="93"/>
      <c r="AT12" s="94"/>
      <c r="AU12" s="92"/>
      <c r="AV12" s="95"/>
      <c r="AW12" s="91"/>
      <c r="AX12" s="92"/>
      <c r="AY12" s="93"/>
      <c r="AZ12" s="94"/>
      <c r="BA12" s="92"/>
      <c r="BB12" s="93"/>
      <c r="BC12" s="94"/>
      <c r="BD12" s="92"/>
      <c r="BE12" s="95"/>
      <c r="BF12" s="91"/>
      <c r="BG12" s="92"/>
      <c r="BH12" s="93"/>
      <c r="BI12" s="94"/>
      <c r="BJ12" s="92"/>
      <c r="BK12" s="93"/>
      <c r="BL12" s="94"/>
      <c r="BM12" s="92"/>
      <c r="BN12" s="95"/>
    </row>
    <row r="13" spans="1:66" ht="19.5" customHeight="1" x14ac:dyDescent="0.2">
      <c r="B13" s="121" t="str">
        <f>Donnees!$C$25</f>
        <v>Journal de travail</v>
      </c>
      <c r="C13" s="96">
        <v>7</v>
      </c>
      <c r="D13" s="86"/>
      <c r="E13" s="87"/>
      <c r="F13" s="88"/>
      <c r="G13" s="89"/>
      <c r="H13" s="87"/>
      <c r="I13" s="88"/>
      <c r="J13" s="89"/>
      <c r="K13" s="87"/>
      <c r="L13" s="90"/>
      <c r="M13" s="86"/>
      <c r="N13" s="87"/>
      <c r="O13" s="88"/>
      <c r="P13" s="89"/>
      <c r="Q13" s="109"/>
      <c r="R13" s="110"/>
      <c r="S13" s="89"/>
      <c r="T13" s="87"/>
      <c r="U13" s="112"/>
      <c r="V13" s="86"/>
      <c r="W13" s="87"/>
      <c r="X13" s="88"/>
      <c r="Y13" s="89"/>
      <c r="Z13" s="87"/>
      <c r="AA13" s="88"/>
      <c r="AB13" s="89"/>
      <c r="AC13" s="87"/>
      <c r="AD13" s="112"/>
      <c r="AE13" s="86"/>
      <c r="AF13" s="87"/>
      <c r="AG13" s="88"/>
      <c r="AH13" s="89"/>
      <c r="AI13" s="87"/>
      <c r="AJ13" s="88"/>
      <c r="AK13" s="89"/>
      <c r="AL13" s="87"/>
      <c r="AM13" s="112"/>
      <c r="AN13" s="86"/>
      <c r="AO13" s="87"/>
      <c r="AP13" s="88"/>
      <c r="AQ13" s="89"/>
      <c r="AR13" s="87"/>
      <c r="AS13" s="88"/>
      <c r="AT13" s="89"/>
      <c r="AU13" s="87"/>
      <c r="AV13" s="112"/>
      <c r="AW13" s="86"/>
      <c r="AX13" s="87"/>
      <c r="AY13" s="88"/>
      <c r="AZ13" s="89"/>
      <c r="BA13" s="87"/>
      <c r="BB13" s="88"/>
      <c r="BC13" s="89"/>
      <c r="BD13" s="87"/>
      <c r="BE13" s="112"/>
      <c r="BF13" s="86"/>
      <c r="BG13" s="87"/>
      <c r="BH13" s="88"/>
      <c r="BI13" s="89"/>
      <c r="BJ13" s="87"/>
      <c r="BK13" s="88"/>
      <c r="BL13" s="89"/>
      <c r="BM13" s="87"/>
      <c r="BN13" s="90"/>
    </row>
    <row r="14" spans="1:66" ht="19.5" customHeight="1" thickBot="1" x14ac:dyDescent="0.25">
      <c r="B14" s="122"/>
      <c r="C14" s="97">
        <v>6</v>
      </c>
      <c r="D14" s="91"/>
      <c r="E14" s="92"/>
      <c r="F14" s="93"/>
      <c r="G14" s="94"/>
      <c r="H14" s="92"/>
      <c r="I14" s="93"/>
      <c r="J14" s="94"/>
      <c r="K14" s="92"/>
      <c r="L14" s="95"/>
      <c r="M14" s="91"/>
      <c r="N14" s="92"/>
      <c r="O14" s="93"/>
      <c r="P14" s="94"/>
      <c r="Q14" s="115"/>
      <c r="R14" s="116"/>
      <c r="S14" s="94"/>
      <c r="T14" s="92"/>
      <c r="U14" s="118"/>
      <c r="V14" s="91"/>
      <c r="W14" s="92"/>
      <c r="X14" s="93"/>
      <c r="Y14" s="94"/>
      <c r="Z14" s="92"/>
      <c r="AA14" s="93"/>
      <c r="AB14" s="94"/>
      <c r="AC14" s="92"/>
      <c r="AD14" s="118"/>
      <c r="AE14" s="91"/>
      <c r="AF14" s="92"/>
      <c r="AG14" s="93"/>
      <c r="AH14" s="94"/>
      <c r="AI14" s="92"/>
      <c r="AJ14" s="93"/>
      <c r="AK14" s="94"/>
      <c r="AL14" s="92"/>
      <c r="AM14" s="118"/>
      <c r="AN14" s="91"/>
      <c r="AO14" s="92"/>
      <c r="AP14" s="93"/>
      <c r="AQ14" s="94"/>
      <c r="AR14" s="92"/>
      <c r="AS14" s="93"/>
      <c r="AT14" s="94"/>
      <c r="AU14" s="92"/>
      <c r="AV14" s="118"/>
      <c r="AW14" s="91"/>
      <c r="AX14" s="92"/>
      <c r="AY14" s="93"/>
      <c r="AZ14" s="94"/>
      <c r="BA14" s="92"/>
      <c r="BB14" s="93"/>
      <c r="BC14" s="94"/>
      <c r="BD14" s="92"/>
      <c r="BE14" s="95"/>
      <c r="BF14" s="91"/>
      <c r="BG14" s="92"/>
      <c r="BH14" s="93"/>
      <c r="BI14" s="94"/>
      <c r="BJ14" s="92"/>
      <c r="BK14" s="93"/>
      <c r="BL14" s="94"/>
      <c r="BM14" s="92"/>
      <c r="BN14" s="95"/>
    </row>
    <row r="15" spans="1:66" ht="19.5" customHeight="1" x14ac:dyDescent="0.2">
      <c r="B15" s="121" t="str">
        <f>Donnees!$C$26</f>
        <v>MCD/MLD</v>
      </c>
      <c r="C15" s="96">
        <v>2</v>
      </c>
      <c r="D15" s="86"/>
      <c r="E15" s="87"/>
      <c r="F15" s="88"/>
      <c r="G15" s="89"/>
      <c r="H15" s="87"/>
      <c r="I15" s="88"/>
      <c r="J15" s="89"/>
      <c r="K15" s="109"/>
      <c r="L15" s="112"/>
      <c r="M15" s="86"/>
      <c r="N15" s="87"/>
      <c r="O15" s="88"/>
      <c r="P15" s="89"/>
      <c r="Q15" s="87"/>
      <c r="R15" s="88"/>
      <c r="S15" s="89"/>
      <c r="T15" s="87"/>
      <c r="U15" s="90"/>
      <c r="V15" s="86"/>
      <c r="W15" s="87"/>
      <c r="X15" s="88"/>
      <c r="Y15" s="89"/>
      <c r="Z15" s="87"/>
      <c r="AA15" s="88"/>
      <c r="AB15" s="89"/>
      <c r="AC15" s="87"/>
      <c r="AD15" s="90"/>
      <c r="AE15" s="86"/>
      <c r="AF15" s="87"/>
      <c r="AG15" s="88"/>
      <c r="AH15" s="89"/>
      <c r="AI15" s="87"/>
      <c r="AJ15" s="88"/>
      <c r="AK15" s="89"/>
      <c r="AL15" s="87"/>
      <c r="AM15" s="90"/>
      <c r="AN15" s="86"/>
      <c r="AO15" s="87"/>
      <c r="AP15" s="88"/>
      <c r="AQ15" s="89"/>
      <c r="AR15" s="87"/>
      <c r="AS15" s="88"/>
      <c r="AT15" s="89"/>
      <c r="AU15" s="87"/>
      <c r="AV15" s="90"/>
      <c r="AW15" s="86"/>
      <c r="AX15" s="87"/>
      <c r="AY15" s="88"/>
      <c r="AZ15" s="89"/>
      <c r="BA15" s="87"/>
      <c r="BB15" s="88"/>
      <c r="BC15" s="89"/>
      <c r="BD15" s="87"/>
      <c r="BE15" s="90"/>
      <c r="BF15" s="86"/>
      <c r="BG15" s="87"/>
      <c r="BH15" s="88"/>
      <c r="BI15" s="89"/>
      <c r="BJ15" s="87"/>
      <c r="BK15" s="88"/>
      <c r="BL15" s="89"/>
      <c r="BM15" s="87"/>
      <c r="BN15" s="90"/>
    </row>
    <row r="16" spans="1:66" ht="19.5" customHeight="1" thickBot="1" x14ac:dyDescent="0.25">
      <c r="A16" s="98"/>
      <c r="B16" s="122"/>
      <c r="C16" s="97">
        <v>3</v>
      </c>
      <c r="D16" s="91"/>
      <c r="E16" s="92"/>
      <c r="F16" s="93"/>
      <c r="G16" s="94"/>
      <c r="H16" s="92"/>
      <c r="I16" s="93"/>
      <c r="J16" s="94"/>
      <c r="K16" s="115"/>
      <c r="L16" s="118"/>
      <c r="M16" s="91"/>
      <c r="N16" s="92"/>
      <c r="O16" s="93"/>
      <c r="P16" s="94"/>
      <c r="Q16" s="92"/>
      <c r="R16" s="93"/>
      <c r="S16" s="94"/>
      <c r="T16" s="92"/>
      <c r="U16" s="95"/>
      <c r="V16" s="91"/>
      <c r="W16" s="92"/>
      <c r="X16" s="93"/>
      <c r="Y16" s="94"/>
      <c r="Z16" s="92"/>
      <c r="AA16" s="116"/>
      <c r="AB16" s="94"/>
      <c r="AC16" s="92"/>
      <c r="AD16" s="95"/>
      <c r="AE16" s="91"/>
      <c r="AF16" s="92"/>
      <c r="AG16" s="93"/>
      <c r="AH16" s="94"/>
      <c r="AI16" s="92"/>
      <c r="AJ16" s="93"/>
      <c r="AK16" s="94"/>
      <c r="AL16" s="92"/>
      <c r="AM16" s="95"/>
      <c r="AN16" s="91"/>
      <c r="AO16" s="92"/>
      <c r="AP16" s="93"/>
      <c r="AQ16" s="94"/>
      <c r="AR16" s="92"/>
      <c r="AS16" s="93"/>
      <c r="AT16" s="94"/>
      <c r="AU16" s="92"/>
      <c r="AV16" s="95"/>
      <c r="AW16" s="91"/>
      <c r="AX16" s="92"/>
      <c r="AY16" s="93"/>
      <c r="AZ16" s="94"/>
      <c r="BA16" s="92"/>
      <c r="BB16" s="93"/>
      <c r="BC16" s="94"/>
      <c r="BD16" s="92"/>
      <c r="BE16" s="95"/>
      <c r="BF16" s="91"/>
      <c r="BG16" s="92"/>
      <c r="BH16" s="93"/>
      <c r="BI16" s="94"/>
      <c r="BJ16" s="92"/>
      <c r="BK16" s="93"/>
      <c r="BL16" s="94"/>
      <c r="BM16" s="92"/>
      <c r="BN16" s="95"/>
    </row>
    <row r="17" spans="2:66" ht="19.5" customHeight="1" x14ac:dyDescent="0.2">
      <c r="B17" s="121" t="str">
        <f>Donnees!$C$27</f>
        <v>Site</v>
      </c>
      <c r="C17" s="96">
        <v>6</v>
      </c>
      <c r="D17" s="86"/>
      <c r="E17" s="87"/>
      <c r="F17" s="88"/>
      <c r="G17" s="89"/>
      <c r="H17" s="87"/>
      <c r="I17" s="88"/>
      <c r="J17" s="89"/>
      <c r="K17" s="87"/>
      <c r="L17" s="90"/>
      <c r="M17" s="86"/>
      <c r="N17" s="87"/>
      <c r="O17" s="88"/>
      <c r="P17" s="89"/>
      <c r="Q17" s="87"/>
      <c r="R17" s="88"/>
      <c r="S17" s="89"/>
      <c r="T17" s="87"/>
      <c r="U17" s="90"/>
      <c r="V17" s="86"/>
      <c r="W17" s="87"/>
      <c r="X17" s="88"/>
      <c r="Y17" s="89"/>
      <c r="Z17" s="87"/>
      <c r="AA17" s="88"/>
      <c r="AB17" s="89"/>
      <c r="AC17" s="87"/>
      <c r="AD17" s="90"/>
      <c r="AE17" s="86"/>
      <c r="AF17" s="87"/>
      <c r="AG17" s="110"/>
      <c r="AH17" s="111"/>
      <c r="AI17" s="109"/>
      <c r="AJ17" s="110"/>
      <c r="AK17" s="111"/>
      <c r="AL17" s="109"/>
      <c r="AM17" s="90"/>
      <c r="AN17" s="86"/>
      <c r="AO17" s="87"/>
      <c r="AP17" s="88"/>
      <c r="AQ17" s="89"/>
      <c r="AR17" s="87"/>
      <c r="AS17" s="88"/>
      <c r="AT17" s="89"/>
      <c r="AU17" s="87"/>
      <c r="AV17" s="90"/>
      <c r="AW17" s="86"/>
      <c r="AX17" s="87"/>
      <c r="AY17" s="88"/>
      <c r="AZ17" s="89"/>
      <c r="BA17" s="87"/>
      <c r="BB17" s="88"/>
      <c r="BC17" s="89"/>
      <c r="BD17" s="87"/>
      <c r="BE17" s="90"/>
      <c r="BF17" s="86"/>
      <c r="BG17" s="87"/>
      <c r="BH17" s="88"/>
      <c r="BI17" s="89"/>
      <c r="BJ17" s="87"/>
      <c r="BK17" s="88"/>
      <c r="BL17" s="89"/>
      <c r="BM17" s="87"/>
      <c r="BN17" s="90"/>
    </row>
    <row r="18" spans="2:66" ht="19.5" customHeight="1" thickBot="1" x14ac:dyDescent="0.25">
      <c r="B18" s="122"/>
      <c r="C18" s="97">
        <v>0</v>
      </c>
      <c r="D18" s="91"/>
      <c r="E18" s="92"/>
      <c r="F18" s="93"/>
      <c r="G18" s="94"/>
      <c r="H18" s="92"/>
      <c r="I18" s="93"/>
      <c r="J18" s="94"/>
      <c r="K18" s="92"/>
      <c r="L18" s="95"/>
      <c r="M18" s="91"/>
      <c r="N18" s="92"/>
      <c r="O18" s="93"/>
      <c r="P18" s="94"/>
      <c r="Q18" s="92"/>
      <c r="R18" s="93"/>
      <c r="S18" s="94"/>
      <c r="T18" s="92"/>
      <c r="U18" s="95"/>
      <c r="V18" s="91"/>
      <c r="W18" s="92"/>
      <c r="X18" s="93"/>
      <c r="Y18" s="94"/>
      <c r="Z18" s="92"/>
      <c r="AA18" s="93"/>
      <c r="AB18" s="94"/>
      <c r="AC18" s="92"/>
      <c r="AD18" s="95"/>
      <c r="AE18" s="91"/>
      <c r="AF18" s="92"/>
      <c r="AG18" s="93"/>
      <c r="AH18" s="94"/>
      <c r="AI18" s="92"/>
      <c r="AJ18" s="93"/>
      <c r="AK18" s="94"/>
      <c r="AL18" s="92"/>
      <c r="AM18" s="95"/>
      <c r="AN18" s="91"/>
      <c r="AO18" s="92"/>
      <c r="AP18" s="93"/>
      <c r="AQ18" s="94"/>
      <c r="AR18" s="92"/>
      <c r="AS18" s="93"/>
      <c r="AT18" s="94"/>
      <c r="AU18" s="92"/>
      <c r="AV18" s="95"/>
      <c r="AW18" s="91"/>
      <c r="AX18" s="92"/>
      <c r="AY18" s="93"/>
      <c r="AZ18" s="94"/>
      <c r="BA18" s="92"/>
      <c r="BB18" s="93"/>
      <c r="BC18" s="94"/>
      <c r="BD18" s="92"/>
      <c r="BE18" s="95"/>
      <c r="BF18" s="91"/>
      <c r="BG18" s="92"/>
      <c r="BH18" s="93"/>
      <c r="BI18" s="94"/>
      <c r="BJ18" s="92"/>
      <c r="BK18" s="93"/>
      <c r="BL18" s="94"/>
      <c r="BM18" s="92"/>
      <c r="BN18" s="95"/>
    </row>
    <row r="19" spans="2:66" ht="19.5" customHeight="1" x14ac:dyDescent="0.2">
      <c r="B19" s="121" t="str">
        <f>Donnees!$C$28</f>
        <v>PHP</v>
      </c>
      <c r="C19" s="96">
        <v>14</v>
      </c>
      <c r="D19" s="86"/>
      <c r="E19" s="87"/>
      <c r="F19" s="88"/>
      <c r="G19" s="89"/>
      <c r="H19" s="87"/>
      <c r="I19" s="88"/>
      <c r="J19" s="89"/>
      <c r="K19" s="87"/>
      <c r="L19" s="90"/>
      <c r="M19" s="86"/>
      <c r="N19" s="87"/>
      <c r="O19" s="88"/>
      <c r="P19" s="89"/>
      <c r="Q19" s="87"/>
      <c r="R19" s="88"/>
      <c r="S19" s="89"/>
      <c r="T19" s="87"/>
      <c r="U19" s="90"/>
      <c r="V19" s="86"/>
      <c r="W19" s="87"/>
      <c r="X19" s="88"/>
      <c r="Y19" s="89"/>
      <c r="Z19" s="87"/>
      <c r="AA19" s="88"/>
      <c r="AB19" s="89"/>
      <c r="AC19" s="87"/>
      <c r="AD19" s="90"/>
      <c r="AE19" s="86"/>
      <c r="AF19" s="87"/>
      <c r="AG19" s="88"/>
      <c r="AH19" s="89"/>
      <c r="AI19" s="87"/>
      <c r="AJ19" s="88"/>
      <c r="AK19" s="89"/>
      <c r="AL19" s="87"/>
      <c r="AM19" s="90"/>
      <c r="AN19" s="86"/>
      <c r="AO19" s="109"/>
      <c r="AP19" s="110"/>
      <c r="AQ19" s="111"/>
      <c r="AR19" s="109"/>
      <c r="AS19" s="110"/>
      <c r="AT19" s="111"/>
      <c r="AU19" s="109"/>
      <c r="AV19" s="90"/>
      <c r="AW19" s="86"/>
      <c r="AX19" s="109"/>
      <c r="AY19" s="110"/>
      <c r="AZ19" s="111"/>
      <c r="BA19" s="109"/>
      <c r="BB19" s="110"/>
      <c r="BC19" s="111"/>
      <c r="BD19" s="109"/>
      <c r="BE19" s="90"/>
      <c r="BF19" s="86"/>
      <c r="BG19" s="87"/>
      <c r="BH19" s="88"/>
      <c r="BI19" s="89"/>
      <c r="BJ19" s="87"/>
      <c r="BK19" s="88"/>
      <c r="BL19" s="89"/>
      <c r="BM19" s="87"/>
      <c r="BN19" s="90"/>
    </row>
    <row r="20" spans="2:66" ht="19.5" customHeight="1" thickBot="1" x14ac:dyDescent="0.25">
      <c r="B20" s="122"/>
      <c r="C20" s="97">
        <v>7</v>
      </c>
      <c r="D20" s="91"/>
      <c r="E20" s="92"/>
      <c r="F20" s="93"/>
      <c r="G20" s="94"/>
      <c r="H20" s="92"/>
      <c r="I20" s="93"/>
      <c r="J20" s="94"/>
      <c r="K20" s="92"/>
      <c r="L20" s="95"/>
      <c r="M20" s="91"/>
      <c r="N20" s="92"/>
      <c r="O20" s="93"/>
      <c r="P20" s="94"/>
      <c r="Q20" s="92"/>
      <c r="R20" s="93"/>
      <c r="S20" s="94"/>
      <c r="T20" s="92"/>
      <c r="U20" s="95"/>
      <c r="V20" s="91"/>
      <c r="W20" s="92"/>
      <c r="X20" s="93"/>
      <c r="Y20" s="94"/>
      <c r="Z20" s="92"/>
      <c r="AA20" s="93"/>
      <c r="AB20" s="94"/>
      <c r="AC20" s="92"/>
      <c r="AD20" s="95"/>
      <c r="AE20" s="91"/>
      <c r="AF20" s="92"/>
      <c r="AG20" s="93"/>
      <c r="AH20" s="94"/>
      <c r="AI20" s="92"/>
      <c r="AJ20" s="93"/>
      <c r="AK20" s="94"/>
      <c r="AL20" s="92"/>
      <c r="AM20" s="95"/>
      <c r="AN20" s="91"/>
      <c r="AO20" s="115"/>
      <c r="AP20" s="116"/>
      <c r="AQ20" s="117"/>
      <c r="AR20" s="115"/>
      <c r="AS20" s="116"/>
      <c r="AT20" s="117"/>
      <c r="AU20" s="115"/>
      <c r="AV20" s="95"/>
      <c r="AW20" s="91"/>
      <c r="AX20" s="92"/>
      <c r="AY20" s="93"/>
      <c r="AZ20" s="94"/>
      <c r="BA20" s="92"/>
      <c r="BB20" s="93"/>
      <c r="BC20" s="94"/>
      <c r="BD20" s="92"/>
      <c r="BE20" s="95"/>
      <c r="BF20" s="91"/>
      <c r="BG20" s="92"/>
      <c r="BH20" s="93"/>
      <c r="BI20" s="94"/>
      <c r="BJ20" s="92"/>
      <c r="BK20" s="93"/>
      <c r="BL20" s="94"/>
      <c r="BM20" s="92"/>
      <c r="BN20" s="95"/>
    </row>
    <row r="21" spans="2:66" ht="19.5" customHeight="1" x14ac:dyDescent="0.2">
      <c r="B21" s="121" t="str">
        <f>Donnees!$C$29</f>
        <v>Requête SQL</v>
      </c>
      <c r="C21" s="96">
        <v>0</v>
      </c>
      <c r="D21" s="86"/>
      <c r="E21" s="87"/>
      <c r="F21" s="88"/>
      <c r="G21" s="89"/>
      <c r="H21" s="87"/>
      <c r="I21" s="88"/>
      <c r="J21" s="89"/>
      <c r="K21" s="87"/>
      <c r="L21" s="90"/>
      <c r="M21" s="86"/>
      <c r="N21" s="87"/>
      <c r="O21" s="88"/>
      <c r="P21" s="89"/>
      <c r="Q21" s="87"/>
      <c r="R21" s="88"/>
      <c r="S21" s="89"/>
      <c r="T21" s="87"/>
      <c r="U21" s="90"/>
      <c r="V21" s="86"/>
      <c r="W21" s="87"/>
      <c r="X21" s="88"/>
      <c r="Y21" s="89"/>
      <c r="Z21" s="87"/>
      <c r="AA21" s="88"/>
      <c r="AB21" s="89"/>
      <c r="AC21" s="87"/>
      <c r="AD21" s="90"/>
      <c r="AE21" s="86"/>
      <c r="AF21" s="87"/>
      <c r="AG21" s="88"/>
      <c r="AH21" s="89"/>
      <c r="AI21" s="87"/>
      <c r="AJ21" s="88"/>
      <c r="AK21" s="89"/>
      <c r="AL21" s="87"/>
      <c r="AM21" s="90"/>
      <c r="AN21" s="86"/>
      <c r="AO21" s="87"/>
      <c r="AP21" s="88"/>
      <c r="AQ21" s="89"/>
      <c r="AR21" s="87"/>
      <c r="AS21" s="88"/>
      <c r="AT21" s="89"/>
      <c r="AU21" s="87"/>
      <c r="AV21" s="90"/>
      <c r="AW21" s="86"/>
      <c r="AX21" s="87"/>
      <c r="AY21" s="88"/>
      <c r="AZ21" s="89"/>
      <c r="BA21" s="87"/>
      <c r="BB21" s="88"/>
      <c r="BC21" s="89"/>
      <c r="BD21" s="87"/>
      <c r="BE21" s="90"/>
      <c r="BF21" s="86"/>
      <c r="BG21" s="87"/>
      <c r="BH21" s="88"/>
      <c r="BI21" s="89"/>
      <c r="BJ21" s="87"/>
      <c r="BK21" s="88"/>
      <c r="BL21" s="89"/>
      <c r="BM21" s="87"/>
      <c r="BN21" s="90"/>
    </row>
    <row r="22" spans="2:66" ht="19.5" customHeight="1" thickBot="1" x14ac:dyDescent="0.25">
      <c r="B22" s="122"/>
      <c r="C22" s="97">
        <v>0</v>
      </c>
      <c r="D22" s="91"/>
      <c r="E22" s="92"/>
      <c r="F22" s="93"/>
      <c r="G22" s="94"/>
      <c r="H22" s="92"/>
      <c r="I22" s="93"/>
      <c r="J22" s="94"/>
      <c r="K22" s="92"/>
      <c r="L22" s="95"/>
      <c r="M22" s="91"/>
      <c r="N22" s="92"/>
      <c r="O22" s="93"/>
      <c r="P22" s="94"/>
      <c r="Q22" s="92"/>
      <c r="R22" s="93"/>
      <c r="S22" s="94"/>
      <c r="T22" s="92"/>
      <c r="U22" s="95"/>
      <c r="V22" s="91"/>
      <c r="W22" s="92"/>
      <c r="X22" s="93"/>
      <c r="Y22" s="94"/>
      <c r="Z22" s="92"/>
      <c r="AA22" s="93"/>
      <c r="AB22" s="94"/>
      <c r="AC22" s="92"/>
      <c r="AD22" s="95"/>
      <c r="AE22" s="91"/>
      <c r="AF22" s="92"/>
      <c r="AG22" s="93"/>
      <c r="AH22" s="94"/>
      <c r="AI22" s="92"/>
      <c r="AJ22" s="93"/>
      <c r="AK22" s="94"/>
      <c r="AL22" s="92"/>
      <c r="AM22" s="95"/>
      <c r="AN22" s="91"/>
      <c r="AO22" s="92"/>
      <c r="AP22" s="93"/>
      <c r="AQ22" s="94"/>
      <c r="AR22" s="92"/>
      <c r="AS22" s="93"/>
      <c r="AT22" s="94"/>
      <c r="AU22" s="92"/>
      <c r="AV22" s="95"/>
      <c r="AW22" s="91"/>
      <c r="AX22" s="92"/>
      <c r="AY22" s="93"/>
      <c r="AZ22" s="94"/>
      <c r="BA22" s="92"/>
      <c r="BB22" s="93"/>
      <c r="BC22" s="94"/>
      <c r="BD22" s="92"/>
      <c r="BE22" s="95"/>
      <c r="BF22" s="91"/>
      <c r="BG22" s="92"/>
      <c r="BH22" s="93"/>
      <c r="BI22" s="94"/>
      <c r="BJ22" s="92"/>
      <c r="BK22" s="93"/>
      <c r="BL22" s="94"/>
      <c r="BM22" s="92"/>
      <c r="BN22" s="95"/>
    </row>
    <row r="23" spans="2:66" ht="19.5" customHeight="1" x14ac:dyDescent="0.2">
      <c r="B23" s="121" t="str">
        <f>Donnees!$C$30</f>
        <v>Script SQL</v>
      </c>
      <c r="C23" s="96">
        <v>0</v>
      </c>
      <c r="D23" s="86"/>
      <c r="E23" s="87"/>
      <c r="F23" s="88"/>
      <c r="G23" s="89"/>
      <c r="H23" s="87"/>
      <c r="I23" s="88"/>
      <c r="J23" s="89"/>
      <c r="K23" s="87"/>
      <c r="L23" s="90"/>
      <c r="M23" s="86"/>
      <c r="N23" s="87"/>
      <c r="O23" s="88"/>
      <c r="P23" s="89"/>
      <c r="Q23" s="87"/>
      <c r="R23" s="88"/>
      <c r="S23" s="89"/>
      <c r="T23" s="87"/>
      <c r="U23" s="90"/>
      <c r="V23" s="86"/>
      <c r="W23" s="87"/>
      <c r="X23" s="88"/>
      <c r="Y23" s="89"/>
      <c r="Z23" s="87"/>
      <c r="AA23" s="88"/>
      <c r="AB23" s="89"/>
      <c r="AC23" s="87"/>
      <c r="AD23" s="90"/>
      <c r="AE23" s="86"/>
      <c r="AF23" s="87"/>
      <c r="AG23" s="88"/>
      <c r="AH23" s="89"/>
      <c r="AI23" s="87"/>
      <c r="AJ23" s="88"/>
      <c r="AK23" s="89"/>
      <c r="AL23" s="87"/>
      <c r="AM23" s="90"/>
      <c r="AN23" s="86"/>
      <c r="AO23" s="87"/>
      <c r="AP23" s="88"/>
      <c r="AQ23" s="89"/>
      <c r="AR23" s="87"/>
      <c r="AS23" s="88"/>
      <c r="AT23" s="89"/>
      <c r="AU23" s="87"/>
      <c r="AV23" s="90"/>
      <c r="AW23" s="86"/>
      <c r="AX23" s="87"/>
      <c r="AY23" s="88"/>
      <c r="AZ23" s="89"/>
      <c r="BA23" s="87"/>
      <c r="BB23" s="88"/>
      <c r="BC23" s="89"/>
      <c r="BD23" s="87"/>
      <c r="BE23" s="90"/>
      <c r="BF23" s="86"/>
      <c r="BG23" s="87"/>
      <c r="BH23" s="88"/>
      <c r="BI23" s="89"/>
      <c r="BJ23" s="87"/>
      <c r="BK23" s="88"/>
      <c r="BL23" s="89"/>
      <c r="BM23" s="87"/>
      <c r="BN23" s="90"/>
    </row>
    <row r="24" spans="2:66" ht="19.5" customHeight="1" thickBot="1" x14ac:dyDescent="0.25">
      <c r="B24" s="122"/>
      <c r="C24" s="97">
        <v>0</v>
      </c>
      <c r="D24" s="91"/>
      <c r="E24" s="92"/>
      <c r="F24" s="93"/>
      <c r="G24" s="94"/>
      <c r="H24" s="92"/>
      <c r="I24" s="93"/>
      <c r="J24" s="94"/>
      <c r="K24" s="92"/>
      <c r="L24" s="95"/>
      <c r="M24" s="91"/>
      <c r="N24" s="92"/>
      <c r="O24" s="93"/>
      <c r="P24" s="94"/>
      <c r="Q24" s="92"/>
      <c r="R24" s="93"/>
      <c r="S24" s="94"/>
      <c r="T24" s="92"/>
      <c r="U24" s="95"/>
      <c r="V24" s="91"/>
      <c r="W24" s="92"/>
      <c r="X24" s="93"/>
      <c r="Y24" s="94"/>
      <c r="Z24" s="92"/>
      <c r="AA24" s="93"/>
      <c r="AB24" s="94"/>
      <c r="AC24" s="92"/>
      <c r="AD24" s="95"/>
      <c r="AE24" s="91"/>
      <c r="AF24" s="92"/>
      <c r="AG24" s="93"/>
      <c r="AH24" s="94"/>
      <c r="AI24" s="92"/>
      <c r="AJ24" s="93"/>
      <c r="AK24" s="94"/>
      <c r="AL24" s="92"/>
      <c r="AM24" s="95"/>
      <c r="AN24" s="91"/>
      <c r="AO24" s="92"/>
      <c r="AP24" s="93"/>
      <c r="AQ24" s="94"/>
      <c r="AR24" s="92"/>
      <c r="AS24" s="93"/>
      <c r="AT24" s="94"/>
      <c r="AU24" s="92"/>
      <c r="AV24" s="95"/>
      <c r="AW24" s="91"/>
      <c r="AX24" s="92"/>
      <c r="AY24" s="93"/>
      <c r="AZ24" s="94"/>
      <c r="BA24" s="92"/>
      <c r="BB24" s="93"/>
      <c r="BC24" s="94"/>
      <c r="BD24" s="92"/>
      <c r="BE24" s="95"/>
      <c r="BF24" s="91"/>
      <c r="BG24" s="92"/>
      <c r="BH24" s="93"/>
      <c r="BI24" s="94"/>
      <c r="BJ24" s="92"/>
      <c r="BK24" s="93"/>
      <c r="BL24" s="94"/>
      <c r="BM24" s="92"/>
      <c r="BN24" s="95"/>
    </row>
    <row r="25" spans="2:66" ht="19.5" customHeight="1" x14ac:dyDescent="0.2">
      <c r="B25" s="121" t="str">
        <f>Donnees!$C$31</f>
        <v>Documentation</v>
      </c>
      <c r="C25" s="96">
        <v>10</v>
      </c>
      <c r="D25" s="86"/>
      <c r="E25" s="87"/>
      <c r="F25" s="88"/>
      <c r="G25" s="89"/>
      <c r="H25" s="109"/>
      <c r="I25" s="110"/>
      <c r="J25" s="111"/>
      <c r="K25" s="87"/>
      <c r="L25" s="90"/>
      <c r="M25" s="86"/>
      <c r="N25" s="87"/>
      <c r="O25" s="88"/>
      <c r="P25" s="89"/>
      <c r="Q25" s="87"/>
      <c r="R25" s="88"/>
      <c r="S25" s="111"/>
      <c r="T25" s="109"/>
      <c r="U25" s="90"/>
      <c r="V25" s="86"/>
      <c r="W25" s="109"/>
      <c r="X25" s="110"/>
      <c r="Y25" s="111"/>
      <c r="Z25" s="109"/>
      <c r="AA25" s="110"/>
      <c r="AB25" s="89"/>
      <c r="AC25" s="87"/>
      <c r="AD25" s="90"/>
      <c r="AE25" s="86"/>
      <c r="AF25" s="87"/>
      <c r="AG25" s="88"/>
      <c r="AH25" s="89"/>
      <c r="AI25" s="87"/>
      <c r="AJ25" s="88"/>
      <c r="AK25" s="89"/>
      <c r="AL25" s="87"/>
      <c r="AM25" s="90"/>
      <c r="AN25" s="86"/>
      <c r="AO25" s="87"/>
      <c r="AP25" s="88"/>
      <c r="AQ25" s="89"/>
      <c r="AR25" s="87"/>
      <c r="AS25" s="88"/>
      <c r="AT25" s="89"/>
      <c r="AU25" s="87"/>
      <c r="AV25" s="90"/>
      <c r="AW25" s="86"/>
      <c r="AX25" s="87"/>
      <c r="AY25" s="88"/>
      <c r="AZ25" s="89"/>
      <c r="BA25" s="87"/>
      <c r="BB25" s="88"/>
      <c r="BC25" s="89"/>
      <c r="BD25" s="87"/>
      <c r="BE25" s="90"/>
      <c r="BF25" s="86"/>
      <c r="BG25" s="87"/>
      <c r="BH25" s="88"/>
      <c r="BI25" s="89"/>
      <c r="BJ25" s="87"/>
      <c r="BK25" s="88"/>
      <c r="BL25" s="89"/>
      <c r="BM25" s="87"/>
      <c r="BN25" s="90"/>
    </row>
    <row r="26" spans="2:66" ht="19.5" customHeight="1" x14ac:dyDescent="0.2">
      <c r="B26" s="122"/>
      <c r="C26" s="97">
        <v>15</v>
      </c>
      <c r="D26" s="91"/>
      <c r="E26" s="92"/>
      <c r="F26" s="93"/>
      <c r="G26" s="94"/>
      <c r="H26" s="115"/>
      <c r="I26" s="116"/>
      <c r="J26" s="117"/>
      <c r="K26" s="92"/>
      <c r="L26" s="95"/>
      <c r="M26" s="91"/>
      <c r="N26" s="92"/>
      <c r="O26" s="93"/>
      <c r="P26" s="94"/>
      <c r="Q26" s="92"/>
      <c r="R26" s="93"/>
      <c r="S26" s="117"/>
      <c r="T26" s="115"/>
      <c r="U26" s="95"/>
      <c r="V26" s="91"/>
      <c r="W26" s="115"/>
      <c r="X26" s="116"/>
      <c r="Y26" s="117"/>
      <c r="Z26" s="115"/>
      <c r="AA26" s="93"/>
      <c r="AB26" s="94"/>
      <c r="AC26" s="92"/>
      <c r="AD26" s="95"/>
      <c r="AE26" s="91"/>
      <c r="AF26" s="92"/>
      <c r="AG26" s="116"/>
      <c r="AH26" s="117"/>
      <c r="AI26" s="115"/>
      <c r="AJ26" s="116"/>
      <c r="AK26" s="117"/>
      <c r="AL26" s="115"/>
      <c r="AM26" s="95"/>
      <c r="AN26" s="91"/>
      <c r="AO26" s="92"/>
      <c r="AP26" s="93"/>
      <c r="AQ26" s="94"/>
      <c r="AR26" s="92"/>
      <c r="AS26" s="93"/>
      <c r="AT26" s="94"/>
      <c r="AU26" s="92"/>
      <c r="AV26" s="95"/>
      <c r="AW26" s="91"/>
      <c r="AX26" s="92"/>
      <c r="AY26" s="93"/>
      <c r="AZ26" s="94"/>
      <c r="BA26" s="92"/>
      <c r="BB26" s="93"/>
      <c r="BC26" s="94"/>
      <c r="BD26" s="92"/>
      <c r="BE26" s="95"/>
      <c r="BF26" s="91"/>
      <c r="BG26" s="92"/>
      <c r="BH26" s="93"/>
      <c r="BI26" s="94"/>
      <c r="BJ26" s="92"/>
      <c r="BK26" s="93"/>
      <c r="BL26" s="94"/>
      <c r="BM26" s="92"/>
      <c r="BN26" s="95"/>
    </row>
    <row r="27" spans="2:66" ht="19.5" customHeight="1" x14ac:dyDescent="0.2">
      <c r="B27" s="47" t="s">
        <v>16</v>
      </c>
      <c r="C27" s="49">
        <f>SUM($C$3,$C$5,$C$7,$C$9,$C$11,$C$13,$C$15,$C$17,$C$19,$C$21,$C$23,$C$25)</f>
        <v>54</v>
      </c>
      <c r="D27" s="99"/>
      <c r="E27" s="100"/>
      <c r="F27" s="100"/>
      <c r="G27" s="100"/>
      <c r="H27" s="100"/>
      <c r="I27" s="100"/>
      <c r="J27" s="100"/>
      <c r="K27" s="100"/>
      <c r="L27" s="101"/>
      <c r="M27" s="99"/>
      <c r="N27" s="100"/>
      <c r="O27" s="100"/>
      <c r="P27" s="100"/>
      <c r="Q27" s="100"/>
      <c r="R27" s="100"/>
      <c r="S27" s="100"/>
      <c r="T27" s="100"/>
      <c r="U27" s="101"/>
      <c r="V27" s="99"/>
      <c r="W27" s="100"/>
      <c r="X27" s="100"/>
      <c r="Y27" s="100"/>
      <c r="Z27" s="100"/>
      <c r="AA27" s="100"/>
      <c r="AB27" s="100"/>
      <c r="AC27" s="100"/>
      <c r="AD27" s="101"/>
      <c r="AE27" s="99"/>
      <c r="AF27" s="100"/>
      <c r="AG27" s="100"/>
      <c r="AH27" s="100"/>
      <c r="AI27" s="100"/>
      <c r="AJ27" s="100"/>
      <c r="AK27" s="100"/>
      <c r="AL27" s="100"/>
      <c r="AM27" s="101"/>
      <c r="AN27" s="99"/>
      <c r="AO27" s="100"/>
      <c r="AP27" s="100"/>
      <c r="AQ27" s="100"/>
      <c r="AR27" s="100"/>
      <c r="AS27" s="100"/>
      <c r="AT27" s="100"/>
      <c r="AU27" s="100"/>
      <c r="AV27" s="101"/>
      <c r="AW27" s="99"/>
      <c r="AX27" s="100"/>
      <c r="AY27" s="100"/>
      <c r="AZ27" s="100"/>
      <c r="BA27" s="100"/>
      <c r="BB27" s="100"/>
      <c r="BC27" s="100"/>
      <c r="BD27" s="100"/>
      <c r="BE27" s="101"/>
      <c r="BF27" s="99"/>
      <c r="BG27" s="100"/>
      <c r="BH27" s="100"/>
      <c r="BI27" s="100"/>
      <c r="BJ27" s="100"/>
      <c r="BK27" s="100"/>
      <c r="BL27" s="100"/>
      <c r="BM27" s="100"/>
      <c r="BN27" s="101"/>
    </row>
    <row r="28" spans="2:66" ht="19.5" customHeight="1" thickBot="1" x14ac:dyDescent="0.25">
      <c r="B28" s="48" t="s">
        <v>17</v>
      </c>
      <c r="C28" s="50">
        <f>SUM($C$4,$C$6,$C$8,$C$10,$C$12,$C$14,$C$16,$C$18,$C$20,$C$22,$C$24,$C$26)</f>
        <v>45</v>
      </c>
      <c r="D28" s="102"/>
      <c r="E28" s="103"/>
      <c r="F28" s="103"/>
      <c r="G28" s="103"/>
      <c r="H28" s="103"/>
      <c r="I28" s="103"/>
      <c r="J28" s="103"/>
      <c r="K28" s="103"/>
      <c r="L28" s="104"/>
      <c r="M28" s="102"/>
      <c r="N28" s="103"/>
      <c r="O28" s="103"/>
      <c r="P28" s="103"/>
      <c r="Q28" s="103"/>
      <c r="R28" s="103"/>
      <c r="S28" s="103"/>
      <c r="T28" s="103"/>
      <c r="U28" s="104"/>
      <c r="V28" s="102"/>
      <c r="W28" s="103"/>
      <c r="X28" s="103"/>
      <c r="Y28" s="103"/>
      <c r="Z28" s="103"/>
      <c r="AA28" s="103"/>
      <c r="AB28" s="103"/>
      <c r="AC28" s="103"/>
      <c r="AD28" s="104"/>
      <c r="AE28" s="102"/>
      <c r="AF28" s="103"/>
      <c r="AG28" s="103"/>
      <c r="AH28" s="103"/>
      <c r="AI28" s="103"/>
      <c r="AJ28" s="103"/>
      <c r="AK28" s="103"/>
      <c r="AL28" s="103"/>
      <c r="AM28" s="104"/>
      <c r="AN28" s="102"/>
      <c r="AO28" s="103"/>
      <c r="AP28" s="103"/>
      <c r="AQ28" s="103"/>
      <c r="AR28" s="103"/>
      <c r="AS28" s="103"/>
      <c r="AT28" s="103"/>
      <c r="AU28" s="103"/>
      <c r="AV28" s="104"/>
      <c r="AW28" s="102"/>
      <c r="AX28" s="103"/>
      <c r="AY28" s="103"/>
      <c r="AZ28" s="103"/>
      <c r="BA28" s="103"/>
      <c r="BB28" s="103"/>
      <c r="BC28" s="103"/>
      <c r="BD28" s="103"/>
      <c r="BE28" s="104"/>
      <c r="BF28" s="102"/>
      <c r="BG28" s="103"/>
      <c r="BH28" s="103"/>
      <c r="BI28" s="103"/>
      <c r="BJ28" s="103"/>
      <c r="BK28" s="103"/>
      <c r="BL28" s="103"/>
      <c r="BM28" s="103"/>
      <c r="BN28" s="104"/>
    </row>
  </sheetData>
  <sheetProtection sheet="1" objects="1" scenarios="1" insertRows="0" selectLockedCells="1"/>
  <mergeCells count="19">
    <mergeCell ref="BF2:BN2"/>
    <mergeCell ref="D2:L2"/>
    <mergeCell ref="M2:U2"/>
    <mergeCell ref="V2:AD2"/>
    <mergeCell ref="AE2:AM2"/>
    <mergeCell ref="AN2:AV2"/>
    <mergeCell ref="AW2:BE2"/>
    <mergeCell ref="B25:B26"/>
    <mergeCell ref="B3:B4"/>
    <mergeCell ref="B5:B6"/>
    <mergeCell ref="B7:B8"/>
    <mergeCell ref="B9:B10"/>
    <mergeCell ref="B11:B12"/>
    <mergeCell ref="B13:B14"/>
    <mergeCell ref="B15:B16"/>
    <mergeCell ref="B17:B18"/>
    <mergeCell ref="B19:B20"/>
    <mergeCell ref="B21:B22"/>
    <mergeCell ref="B23:B24"/>
  </mergeCells>
  <dataValidations count="1">
    <dataValidation type="whole" allowBlank="1" showInputMessage="1" showErrorMessage="1" errorTitle="DureeTropLongue" error="Cette durée est invalide: ce n'est pas un chiffre entier positif ou elle dépasse la &quot;Durée totale&quot; définie plus haut ..." sqref="C27">
      <formula1>0</formula1>
      <formula2>$C$9</formula2>
    </dataValidation>
  </dataValidations>
  <printOptions horizontalCentered="1" verticalCentered="1"/>
  <pageMargins left="0.25" right="0.25" top="0.75" bottom="0.75" header="0.3" footer="0.3"/>
  <pageSetup paperSize="9" scale="75"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3" t="s">
        <v>21</v>
      </c>
      <c r="C3" s="30">
        <v>0</v>
      </c>
    </row>
    <row r="4" spans="1:4" ht="19.5" customHeight="1" x14ac:dyDescent="0.2">
      <c r="A4" s="34"/>
      <c r="B4" s="129"/>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99"/>
  <sheetViews>
    <sheetView view="pageBreakPreview" zoomScale="85" zoomScaleNormal="100" zoomScaleSheetLayoutView="85"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21</v>
      </c>
      <c r="B3" s="8">
        <v>3</v>
      </c>
      <c r="C3" s="13"/>
      <c r="D3" s="13"/>
    </row>
    <row r="4" spans="1:4" s="81" customFormat="1" ht="13.5" x14ac:dyDescent="0.2">
      <c r="A4" s="5" t="s">
        <v>28</v>
      </c>
      <c r="B4" s="6">
        <v>1</v>
      </c>
      <c r="C4" s="14"/>
      <c r="D4" s="14"/>
    </row>
    <row r="5" spans="1:4" s="81" customFormat="1" ht="13.5" x14ac:dyDescent="0.2">
      <c r="A5" s="5" t="s">
        <v>37</v>
      </c>
      <c r="B5" s="6">
        <v>3</v>
      </c>
      <c r="C5" s="14"/>
      <c r="D5" s="14"/>
    </row>
    <row r="6" spans="1:4" s="81" customFormat="1" ht="13.5" x14ac:dyDescent="0.2">
      <c r="A6" s="5" t="s">
        <v>33</v>
      </c>
      <c r="B6" s="6"/>
      <c r="C6" s="14"/>
      <c r="D6" s="14"/>
    </row>
    <row r="7" spans="1:4" s="81" customFormat="1" ht="13.5" x14ac:dyDescent="0.2">
      <c r="A7" s="5" t="s">
        <v>32</v>
      </c>
      <c r="B7" s="6">
        <v>2</v>
      </c>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5"/>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9</v>
      </c>
      <c r="C13" s="107" t="s">
        <v>45</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13.5" x14ac:dyDescent="0.2">
      <c r="A17" s="9" t="s">
        <v>21</v>
      </c>
      <c r="B17" s="8">
        <v>3</v>
      </c>
      <c r="C17" s="13"/>
      <c r="D17" s="13"/>
    </row>
    <row r="18" spans="1:9" ht="13.5" x14ac:dyDescent="0.2">
      <c r="A18" s="5" t="s">
        <v>27</v>
      </c>
      <c r="B18" s="6">
        <v>1</v>
      </c>
      <c r="C18" s="14"/>
      <c r="D18" s="14"/>
    </row>
    <row r="19" spans="1:9" ht="13.5" x14ac:dyDescent="0.2">
      <c r="A19" s="5" t="s">
        <v>31</v>
      </c>
      <c r="B19" s="6">
        <v>2</v>
      </c>
      <c r="C19" s="14"/>
      <c r="D19" s="14"/>
      <c r="E19" s="37"/>
      <c r="F19" s="37"/>
      <c r="G19" s="37"/>
      <c r="H19" s="37"/>
      <c r="I19" s="37"/>
    </row>
    <row r="20" spans="1:9" ht="12.75" customHeight="1" x14ac:dyDescent="0.2">
      <c r="A20" s="5" t="s">
        <v>37</v>
      </c>
      <c r="B20" s="6">
        <v>2</v>
      </c>
      <c r="C20" s="14"/>
      <c r="D20" s="14"/>
      <c r="E20" s="37"/>
      <c r="F20" s="54"/>
      <c r="G20" s="55"/>
      <c r="H20" s="56"/>
      <c r="I20" s="37"/>
    </row>
    <row r="21" spans="1:9" ht="15" x14ac:dyDescent="0.2">
      <c r="A21" s="5" t="s">
        <v>31</v>
      </c>
      <c r="B21" s="6">
        <v>1</v>
      </c>
      <c r="C21" s="14"/>
      <c r="D21" s="14"/>
      <c r="E21" s="37"/>
      <c r="F21" s="57"/>
      <c r="G21" s="53"/>
      <c r="H21" s="53"/>
      <c r="I21" s="37"/>
    </row>
    <row r="22" spans="1:9" ht="13.5" x14ac:dyDescent="0.2">
      <c r="A22" s="5"/>
      <c r="B22" s="6"/>
      <c r="C22" s="14"/>
      <c r="D22" s="14"/>
      <c r="E22" s="37"/>
      <c r="F22" s="59"/>
      <c r="G22" s="60"/>
      <c r="H22" s="60"/>
      <c r="I22" s="37"/>
    </row>
    <row r="23" spans="1:9" ht="13.5" x14ac:dyDescent="0.2">
      <c r="A23" s="6"/>
      <c r="B23" s="6"/>
      <c r="C23" s="14"/>
      <c r="D23" s="14"/>
      <c r="E23" s="37"/>
      <c r="F23" s="59"/>
      <c r="G23" s="60"/>
      <c r="H23" s="60"/>
      <c r="I23" s="37"/>
    </row>
    <row r="24" spans="1:9" ht="13.5" x14ac:dyDescent="0.2">
      <c r="A24" s="6"/>
      <c r="B24" s="6"/>
      <c r="C24" s="14"/>
      <c r="D24" s="14"/>
      <c r="E24" s="37"/>
      <c r="F24" s="59"/>
      <c r="G24" s="60"/>
      <c r="H24" s="60"/>
      <c r="I24" s="37"/>
    </row>
    <row r="25" spans="1:9" ht="13.5" x14ac:dyDescent="0.2">
      <c r="A25" s="6"/>
      <c r="B25" s="6"/>
      <c r="C25" s="14"/>
      <c r="D25" s="14"/>
      <c r="E25" s="37"/>
      <c r="F25" s="59"/>
      <c r="G25" s="60"/>
      <c r="H25" s="60"/>
      <c r="I25" s="37"/>
    </row>
    <row r="26" spans="1:9" ht="14.25" thickBot="1" x14ac:dyDescent="0.25">
      <c r="A26" s="7"/>
      <c r="B26" s="7"/>
      <c r="C26" s="15"/>
      <c r="D26" s="15"/>
      <c r="E26" s="37"/>
      <c r="F26" s="59"/>
      <c r="G26" s="60"/>
      <c r="H26" s="60"/>
      <c r="I26" s="37"/>
    </row>
    <row r="27" spans="1:9" ht="14.25" thickBot="1" x14ac:dyDescent="0.25">
      <c r="A27" s="16" t="s">
        <v>22</v>
      </c>
      <c r="B27" s="16">
        <f>SUM(B17:B26)</f>
        <v>9</v>
      </c>
      <c r="C27" s="107" t="s">
        <v>45</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14.25" x14ac:dyDescent="0.3">
      <c r="A31" s="9" t="s">
        <v>27</v>
      </c>
      <c r="B31" s="8">
        <v>1</v>
      </c>
      <c r="C31" s="13"/>
      <c r="D31" s="13"/>
      <c r="E31" s="37"/>
      <c r="F31" s="63"/>
      <c r="G31" s="63"/>
      <c r="H31" s="63"/>
      <c r="I31" s="37"/>
    </row>
    <row r="32" spans="1:9" ht="13.5" x14ac:dyDescent="0.2">
      <c r="A32" s="5" t="s">
        <v>37</v>
      </c>
      <c r="B32" s="6">
        <v>5</v>
      </c>
      <c r="C32" s="14"/>
      <c r="D32" s="14"/>
      <c r="E32" s="37"/>
      <c r="F32" s="37"/>
      <c r="G32" s="37"/>
      <c r="H32" s="37"/>
      <c r="I32" s="37"/>
    </row>
    <row r="33" spans="1:9" ht="13.5" x14ac:dyDescent="0.2">
      <c r="A33" s="5" t="s">
        <v>29</v>
      </c>
      <c r="B33" s="6">
        <v>1</v>
      </c>
      <c r="C33" s="14"/>
      <c r="D33" s="14"/>
      <c r="E33" s="37"/>
      <c r="F33" s="37"/>
      <c r="G33" s="37"/>
      <c r="H33" s="37"/>
      <c r="I33" s="37"/>
    </row>
    <row r="34" spans="1:9" ht="13.5" x14ac:dyDescent="0.2">
      <c r="A34" s="5" t="s">
        <v>30</v>
      </c>
      <c r="B34" s="6">
        <v>1</v>
      </c>
      <c r="C34" s="14"/>
      <c r="D34" s="14"/>
      <c r="E34" s="37"/>
      <c r="F34" s="37"/>
      <c r="G34" s="37"/>
      <c r="H34" s="37"/>
      <c r="I34" s="37"/>
    </row>
    <row r="35" spans="1:9" ht="13.5" x14ac:dyDescent="0.2">
      <c r="A35" s="5" t="s">
        <v>31</v>
      </c>
      <c r="B35" s="6">
        <v>1</v>
      </c>
      <c r="C35" s="14"/>
      <c r="D35" s="14"/>
    </row>
    <row r="36" spans="1:9" ht="13.5" x14ac:dyDescent="0.2">
      <c r="A36" s="5"/>
      <c r="B36" s="6"/>
      <c r="C36" s="14"/>
      <c r="D36" s="14"/>
    </row>
    <row r="37" spans="1:9" ht="13.5" x14ac:dyDescent="0.2">
      <c r="A37" s="6"/>
      <c r="B37" s="6"/>
      <c r="C37" s="14"/>
      <c r="D37" s="14"/>
    </row>
    <row r="38" spans="1:9" ht="13.5" x14ac:dyDescent="0.2">
      <c r="A38" s="6"/>
      <c r="B38" s="6"/>
      <c r="C38" s="14"/>
      <c r="D38" s="14"/>
    </row>
    <row r="39" spans="1:9" ht="13.5" x14ac:dyDescent="0.2">
      <c r="A39" s="6"/>
      <c r="B39" s="6"/>
      <c r="C39" s="14"/>
      <c r="D39" s="14"/>
    </row>
    <row r="40" spans="1:9" ht="14.25" thickBot="1" x14ac:dyDescent="0.25">
      <c r="A40" s="7"/>
      <c r="B40" s="7"/>
      <c r="C40" s="15"/>
      <c r="D40" s="15"/>
    </row>
    <row r="41" spans="1:9" ht="14.25" thickBot="1" x14ac:dyDescent="0.25">
      <c r="A41" s="16" t="s">
        <v>22</v>
      </c>
      <c r="B41" s="16">
        <f>SUM(B31:B40)</f>
        <v>9</v>
      </c>
      <c r="C41" s="107" t="s">
        <v>45</v>
      </c>
      <c r="D41" s="17"/>
    </row>
    <row r="42" spans="1:9" ht="15" thickBot="1" x14ac:dyDescent="0.35">
      <c r="A42" s="18"/>
      <c r="B42" s="18"/>
      <c r="C42" s="18"/>
      <c r="D42" s="18"/>
    </row>
    <row r="43" spans="1:9" ht="18.75" thickBot="1" x14ac:dyDescent="0.25">
      <c r="A43" s="10" t="s">
        <v>14</v>
      </c>
      <c r="B43" s="11">
        <v>4</v>
      </c>
      <c r="C43" s="31"/>
      <c r="D43" s="33"/>
    </row>
    <row r="44" spans="1:9" ht="27.75" thickBot="1" x14ac:dyDescent="0.25">
      <c r="A44" s="12" t="s">
        <v>3</v>
      </c>
      <c r="B44" s="32" t="s">
        <v>15</v>
      </c>
      <c r="C44" s="12" t="s">
        <v>7</v>
      </c>
      <c r="D44" s="12" t="s">
        <v>13</v>
      </c>
    </row>
    <row r="45" spans="1:9" ht="13.5" x14ac:dyDescent="0.2">
      <c r="A45" s="9" t="s">
        <v>28</v>
      </c>
      <c r="B45" s="8">
        <v>2</v>
      </c>
      <c r="C45" s="13"/>
      <c r="D45" s="13"/>
    </row>
    <row r="46" spans="1:9" ht="13.5" x14ac:dyDescent="0.2">
      <c r="A46" s="5" t="s">
        <v>33</v>
      </c>
      <c r="B46" s="6">
        <v>6</v>
      </c>
      <c r="C46" s="14"/>
      <c r="D46" s="14"/>
    </row>
    <row r="47" spans="1:9" ht="13.5" x14ac:dyDescent="0.2">
      <c r="A47" s="5" t="s">
        <v>31</v>
      </c>
      <c r="B47" s="6">
        <v>1</v>
      </c>
      <c r="C47" s="14"/>
      <c r="D47" s="14"/>
    </row>
    <row r="48" spans="1:9" ht="13.5" x14ac:dyDescent="0.2">
      <c r="A48" s="5"/>
      <c r="B48" s="6"/>
      <c r="C48" s="14"/>
      <c r="D48" s="14"/>
    </row>
    <row r="49" spans="1:4" ht="13.5" x14ac:dyDescent="0.2">
      <c r="A49" s="5"/>
      <c r="B49" s="6"/>
      <c r="C49" s="14"/>
      <c r="D49" s="14"/>
    </row>
    <row r="50" spans="1:4" ht="13.5" x14ac:dyDescent="0.2">
      <c r="A50" s="5"/>
      <c r="B50" s="6"/>
      <c r="C50" s="14"/>
      <c r="D50" s="14"/>
    </row>
    <row r="51" spans="1:4" ht="13.5" x14ac:dyDescent="0.2">
      <c r="A51" s="6"/>
      <c r="B51" s="6"/>
      <c r="C51" s="14"/>
      <c r="D51" s="14"/>
    </row>
    <row r="52" spans="1:4" ht="13.5" x14ac:dyDescent="0.2">
      <c r="A52" s="6"/>
      <c r="B52" s="6"/>
      <c r="C52" s="14"/>
      <c r="D52" s="14"/>
    </row>
    <row r="53" spans="1:4" ht="13.5" x14ac:dyDescent="0.2">
      <c r="A53" s="6"/>
      <c r="B53" s="6"/>
      <c r="C53" s="14"/>
      <c r="D53" s="14"/>
    </row>
    <row r="54" spans="1:4" ht="14.25" thickBot="1" x14ac:dyDescent="0.25">
      <c r="A54" s="7"/>
      <c r="B54" s="7"/>
      <c r="C54" s="15"/>
      <c r="D54" s="15"/>
    </row>
    <row r="55" spans="1:4" ht="14.25" thickBot="1" x14ac:dyDescent="0.25">
      <c r="A55" s="16" t="s">
        <v>22</v>
      </c>
      <c r="B55" s="16">
        <f>SUM(B45:B54)</f>
        <v>9</v>
      </c>
      <c r="C55" s="107" t="s">
        <v>45</v>
      </c>
      <c r="D55" s="17"/>
    </row>
    <row r="56" spans="1:4" ht="15" thickBot="1" x14ac:dyDescent="0.35">
      <c r="A56" s="18"/>
      <c r="B56" s="18"/>
      <c r="C56" s="18"/>
      <c r="D56" s="18"/>
    </row>
    <row r="57" spans="1:4" ht="18.75" thickBot="1" x14ac:dyDescent="0.25">
      <c r="A57" s="10" t="s">
        <v>14</v>
      </c>
      <c r="B57" s="11">
        <v>5</v>
      </c>
      <c r="C57" s="31"/>
      <c r="D57" s="33"/>
    </row>
    <row r="58" spans="1:4" ht="27.75" thickBot="1" x14ac:dyDescent="0.25">
      <c r="A58" s="12" t="s">
        <v>3</v>
      </c>
      <c r="B58" s="32" t="s">
        <v>15</v>
      </c>
      <c r="C58" s="12" t="s">
        <v>7</v>
      </c>
      <c r="D58" s="12" t="s">
        <v>13</v>
      </c>
    </row>
    <row r="59" spans="1:4" ht="13.5" x14ac:dyDescent="0.2">
      <c r="A59" s="9" t="s">
        <v>28</v>
      </c>
      <c r="B59" s="8">
        <v>1</v>
      </c>
      <c r="C59" s="13"/>
      <c r="D59" s="13"/>
    </row>
    <row r="60" spans="1:4" ht="13.5" x14ac:dyDescent="0.2">
      <c r="A60" s="5" t="s">
        <v>35</v>
      </c>
      <c r="B60" s="6">
        <v>7</v>
      </c>
      <c r="C60" s="14"/>
      <c r="D60" s="14"/>
    </row>
    <row r="61" spans="1:4" ht="13.5" x14ac:dyDescent="0.2">
      <c r="A61" s="5" t="s">
        <v>31</v>
      </c>
      <c r="B61" s="6">
        <v>1</v>
      </c>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6"/>
      <c r="B65" s="6"/>
      <c r="C65" s="14"/>
      <c r="D65" s="14"/>
    </row>
    <row r="66" spans="1:4" ht="13.5" x14ac:dyDescent="0.2">
      <c r="A66" s="6"/>
      <c r="B66" s="6"/>
      <c r="C66" s="14"/>
      <c r="D66" s="14"/>
    </row>
    <row r="67" spans="1:4" ht="13.5" x14ac:dyDescent="0.2">
      <c r="A67" s="6"/>
      <c r="B67" s="6"/>
      <c r="C67" s="14"/>
      <c r="D67" s="14"/>
    </row>
    <row r="68" spans="1:4" ht="14.25" thickBot="1" x14ac:dyDescent="0.25">
      <c r="A68" s="7"/>
      <c r="B68" s="7"/>
      <c r="C68" s="15"/>
      <c r="D68" s="15"/>
    </row>
    <row r="69" spans="1:4" ht="14.25" thickBot="1" x14ac:dyDescent="0.25">
      <c r="A69" s="16" t="s">
        <v>22</v>
      </c>
      <c r="B69" s="16">
        <f>SUM(B59:B68)</f>
        <v>9</v>
      </c>
      <c r="C69" s="107" t="s">
        <v>45</v>
      </c>
      <c r="D69" s="17"/>
    </row>
    <row r="70" spans="1:4" ht="15" thickBot="1" x14ac:dyDescent="0.35">
      <c r="A70" s="18"/>
      <c r="B70" s="18"/>
      <c r="C70" s="18"/>
      <c r="D70" s="18"/>
    </row>
    <row r="71" spans="1:4" ht="18.75" thickBot="1" x14ac:dyDescent="0.25">
      <c r="A71" s="10" t="s">
        <v>14</v>
      </c>
      <c r="B71" s="11">
        <v>6</v>
      </c>
      <c r="C71" s="31"/>
      <c r="D71" s="33"/>
    </row>
    <row r="72" spans="1:4" ht="27.75" thickBot="1" x14ac:dyDescent="0.25">
      <c r="A72" s="12" t="s">
        <v>3</v>
      </c>
      <c r="B72" s="32" t="s">
        <v>15</v>
      </c>
      <c r="C72" s="12" t="s">
        <v>7</v>
      </c>
      <c r="D72" s="12" t="s">
        <v>13</v>
      </c>
    </row>
    <row r="73" spans="1:4" ht="13.5" x14ac:dyDescent="0.2">
      <c r="A73" s="9" t="s">
        <v>28</v>
      </c>
      <c r="B73" s="8">
        <v>1</v>
      </c>
      <c r="C73" s="13"/>
      <c r="D73" s="13"/>
    </row>
    <row r="74" spans="1:4" ht="13.5" x14ac:dyDescent="0.2">
      <c r="A74" s="5" t="s">
        <v>35</v>
      </c>
      <c r="B74" s="6">
        <v>7</v>
      </c>
      <c r="C74" s="14"/>
      <c r="D74" s="14"/>
    </row>
    <row r="75" spans="1:4" ht="13.5" x14ac:dyDescent="0.2">
      <c r="A75" s="5" t="s">
        <v>31</v>
      </c>
      <c r="B75" s="6">
        <v>1</v>
      </c>
      <c r="C75" s="14"/>
      <c r="D75" s="14"/>
    </row>
    <row r="76" spans="1:4" ht="13.5" x14ac:dyDescent="0.2">
      <c r="A76" s="5"/>
      <c r="B76" s="6"/>
      <c r="C76" s="14"/>
      <c r="D76" s="14"/>
    </row>
    <row r="77" spans="1:4" ht="13.5" x14ac:dyDescent="0.2">
      <c r="A77" s="5"/>
      <c r="B77" s="6"/>
      <c r="C77" s="14"/>
      <c r="D77" s="14"/>
    </row>
    <row r="78" spans="1:4" ht="13.5" x14ac:dyDescent="0.2">
      <c r="A78" s="5"/>
      <c r="B78" s="6"/>
      <c r="C78" s="14"/>
      <c r="D78" s="14"/>
    </row>
    <row r="79" spans="1:4" ht="13.5" x14ac:dyDescent="0.2">
      <c r="A79" s="6"/>
      <c r="B79" s="6"/>
      <c r="C79" s="14"/>
      <c r="D79" s="14"/>
    </row>
    <row r="80" spans="1:4" ht="13.5" x14ac:dyDescent="0.2">
      <c r="A80" s="6"/>
      <c r="B80" s="6"/>
      <c r="C80" s="14"/>
      <c r="D80" s="14"/>
    </row>
    <row r="81" spans="1:4" ht="13.5" x14ac:dyDescent="0.2">
      <c r="A81" s="6"/>
      <c r="B81" s="6"/>
      <c r="C81" s="14"/>
      <c r="D81" s="14"/>
    </row>
    <row r="82" spans="1:4" ht="14.25" thickBot="1" x14ac:dyDescent="0.25">
      <c r="A82" s="7"/>
      <c r="B82" s="7"/>
      <c r="C82" s="15"/>
      <c r="D82" s="15"/>
    </row>
    <row r="83" spans="1:4" ht="14.25" thickBot="1" x14ac:dyDescent="0.25">
      <c r="A83" s="16" t="s">
        <v>22</v>
      </c>
      <c r="B83" s="16">
        <f>SUM(B73:B82)</f>
        <v>9</v>
      </c>
      <c r="C83" s="107" t="s">
        <v>45</v>
      </c>
      <c r="D83" s="17"/>
    </row>
    <row r="84" spans="1:4" ht="15" thickBot="1" x14ac:dyDescent="0.35">
      <c r="A84" s="18"/>
      <c r="B84" s="18"/>
      <c r="C84" s="18"/>
      <c r="D84" s="18"/>
    </row>
    <row r="85" spans="1:4" ht="18.75" thickBot="1" x14ac:dyDescent="0.25">
      <c r="A85" s="10" t="s">
        <v>14</v>
      </c>
      <c r="B85" s="11">
        <v>7</v>
      </c>
      <c r="C85" s="31"/>
      <c r="D85" s="33"/>
    </row>
    <row r="86" spans="1:4" ht="27.75" thickBot="1" x14ac:dyDescent="0.25">
      <c r="A86" s="12" t="s">
        <v>3</v>
      </c>
      <c r="B86" s="32" t="s">
        <v>15</v>
      </c>
      <c r="C86" s="12" t="s">
        <v>7</v>
      </c>
      <c r="D86" s="12" t="s">
        <v>13</v>
      </c>
    </row>
    <row r="87" spans="1:4" ht="13.5" x14ac:dyDescent="0.2">
      <c r="A87" s="9"/>
      <c r="B87" s="8"/>
      <c r="C87" s="13"/>
      <c r="D87" s="13"/>
    </row>
    <row r="88" spans="1:4" ht="13.5" x14ac:dyDescent="0.2">
      <c r="A88" s="5"/>
      <c r="B88" s="6"/>
      <c r="C88" s="14"/>
      <c r="D88" s="14"/>
    </row>
    <row r="89" spans="1:4" ht="13.5" x14ac:dyDescent="0.2">
      <c r="A89" s="5"/>
      <c r="B89" s="6"/>
      <c r="C89" s="14"/>
      <c r="D89" s="14"/>
    </row>
    <row r="90" spans="1:4" ht="13.5" x14ac:dyDescent="0.2">
      <c r="A90" s="5"/>
      <c r="B90" s="6"/>
      <c r="C90" s="14"/>
      <c r="D90" s="14"/>
    </row>
    <row r="91" spans="1:4" ht="13.5" x14ac:dyDescent="0.2">
      <c r="A91" s="5"/>
      <c r="B91" s="6"/>
      <c r="C91" s="14"/>
      <c r="D91" s="14"/>
    </row>
    <row r="92" spans="1:4" ht="13.5" x14ac:dyDescent="0.2">
      <c r="A92" s="5"/>
      <c r="B92" s="6"/>
      <c r="C92" s="14"/>
      <c r="D92" s="14"/>
    </row>
    <row r="93" spans="1:4" ht="13.5" x14ac:dyDescent="0.2">
      <c r="A93" s="6"/>
      <c r="B93" s="6"/>
      <c r="C93" s="14"/>
      <c r="D93" s="14"/>
    </row>
    <row r="94" spans="1:4" ht="13.5" x14ac:dyDescent="0.2">
      <c r="A94" s="6"/>
      <c r="B94" s="6"/>
      <c r="C94" s="14"/>
      <c r="D94" s="14"/>
    </row>
    <row r="95" spans="1:4" ht="13.5" x14ac:dyDescent="0.2">
      <c r="A95" s="6"/>
      <c r="B95" s="6"/>
      <c r="C95" s="14"/>
      <c r="D95" s="14"/>
    </row>
    <row r="96" spans="1:4" ht="14.25" thickBot="1" x14ac:dyDescent="0.25">
      <c r="A96" s="7"/>
      <c r="B96" s="7"/>
      <c r="C96" s="15"/>
      <c r="D96" s="15"/>
    </row>
    <row r="97" spans="1:4" ht="14.25" thickBot="1" x14ac:dyDescent="0.25">
      <c r="A97" s="16" t="s">
        <v>22</v>
      </c>
      <c r="B97" s="16">
        <f>SUM(B87:B96)</f>
        <v>0</v>
      </c>
      <c r="C97" s="107" t="s">
        <v>45</v>
      </c>
      <c r="D97" s="17"/>
    </row>
    <row r="98" spans="1:4" ht="14.25" x14ac:dyDescent="0.3">
      <c r="A98" s="18"/>
      <c r="B98" s="18"/>
      <c r="C98" s="18"/>
      <c r="D98" s="18"/>
    </row>
    <row r="99" spans="1:4" x14ac:dyDescent="0.2">
      <c r="A99" s="106" t="s">
        <v>46</v>
      </c>
    </row>
  </sheetData>
  <sheetProtection sheet="1" objects="1" scenarios="1" insertRows="0" selectLockedCells="1"/>
  <dataValidations count="4">
    <dataValidation type="list" allowBlank="1" showInputMessage="1" showErrorMessage="1" sqref="A3:A12 A17:A26 A31:A40 A45:A54 A59:A68 A73:A82 A87:A96">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34"/>
  <sheetViews>
    <sheetView tabSelected="1" view="pageBreakPreview" topLeftCell="A61" zoomScale="85" zoomScaleNormal="100" zoomScaleSheetLayoutView="85" workbookViewId="0">
      <selection activeCell="D80" sqref="D80"/>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42816</v>
      </c>
    </row>
    <row r="2" spans="1:4" ht="27.75" thickBot="1" x14ac:dyDescent="0.25">
      <c r="A2" s="74" t="s">
        <v>3</v>
      </c>
      <c r="B2" s="75" t="s">
        <v>15</v>
      </c>
      <c r="C2" s="74" t="s">
        <v>7</v>
      </c>
      <c r="D2" s="74" t="s">
        <v>13</v>
      </c>
    </row>
    <row r="3" spans="1:4" s="81" customFormat="1" ht="13.5" x14ac:dyDescent="0.2">
      <c r="A3" s="9" t="s">
        <v>21</v>
      </c>
      <c r="B3" s="8">
        <v>3</v>
      </c>
      <c r="C3" s="13" t="s">
        <v>47</v>
      </c>
      <c r="D3" s="13"/>
    </row>
    <row r="4" spans="1:4" s="81" customFormat="1" ht="13.5" x14ac:dyDescent="0.2">
      <c r="A4" s="5" t="s">
        <v>28</v>
      </c>
      <c r="B4" s="6">
        <v>1</v>
      </c>
      <c r="C4" s="14" t="s">
        <v>48</v>
      </c>
      <c r="D4" s="14"/>
    </row>
    <row r="5" spans="1:4" s="81" customFormat="1" ht="27" x14ac:dyDescent="0.2">
      <c r="A5" s="5" t="s">
        <v>37</v>
      </c>
      <c r="B5" s="6">
        <v>3</v>
      </c>
      <c r="C5" s="14" t="s">
        <v>49</v>
      </c>
      <c r="D5" s="14"/>
    </row>
    <row r="6" spans="1:4" s="81" customFormat="1" ht="25.5" x14ac:dyDescent="0.2">
      <c r="A6" s="5" t="s">
        <v>32</v>
      </c>
      <c r="B6" s="6">
        <v>2</v>
      </c>
      <c r="C6" s="14" t="s">
        <v>50</v>
      </c>
      <c r="D6" s="113" t="s">
        <v>51</v>
      </c>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9</v>
      </c>
      <c r="C18" s="105" t="s">
        <v>45</v>
      </c>
      <c r="D18" s="77"/>
    </row>
    <row r="19" spans="1:9" ht="15" thickBot="1" x14ac:dyDescent="0.35">
      <c r="A19" s="78"/>
      <c r="B19" s="78"/>
      <c r="C19" s="78"/>
      <c r="D19" s="78"/>
    </row>
    <row r="20" spans="1:9" ht="18.75" thickBot="1" x14ac:dyDescent="0.25">
      <c r="A20" s="71" t="s">
        <v>14</v>
      </c>
      <c r="B20" s="72">
        <v>2</v>
      </c>
      <c r="C20" s="73" t="s">
        <v>23</v>
      </c>
      <c r="D20" s="82">
        <v>42823</v>
      </c>
    </row>
    <row r="21" spans="1:9" ht="27.75" thickBot="1" x14ac:dyDescent="0.25">
      <c r="A21" s="74" t="s">
        <v>3</v>
      </c>
      <c r="B21" s="75" t="s">
        <v>15</v>
      </c>
      <c r="C21" s="74" t="s">
        <v>7</v>
      </c>
      <c r="D21" s="74" t="s">
        <v>13</v>
      </c>
    </row>
    <row r="22" spans="1:9" ht="13.5" x14ac:dyDescent="0.2">
      <c r="A22" s="9" t="s">
        <v>21</v>
      </c>
      <c r="B22" s="8">
        <v>3</v>
      </c>
      <c r="C22" s="13" t="s">
        <v>53</v>
      </c>
      <c r="D22" s="13"/>
    </row>
    <row r="23" spans="1:9" ht="54" x14ac:dyDescent="0.2">
      <c r="A23" s="5" t="s">
        <v>27</v>
      </c>
      <c r="B23" s="6">
        <v>1</v>
      </c>
      <c r="C23" s="14" t="s">
        <v>54</v>
      </c>
      <c r="D23" s="14"/>
    </row>
    <row r="24" spans="1:9" ht="13.5" x14ac:dyDescent="0.2">
      <c r="A24" s="5" t="s">
        <v>31</v>
      </c>
      <c r="B24" s="6">
        <v>2</v>
      </c>
      <c r="C24" s="14" t="s">
        <v>55</v>
      </c>
      <c r="D24" s="14"/>
      <c r="E24" s="37"/>
      <c r="F24" s="37"/>
      <c r="G24" s="37"/>
      <c r="H24" s="37"/>
      <c r="I24" s="37"/>
    </row>
    <row r="25" spans="1:9" ht="12.75" customHeight="1" x14ac:dyDescent="0.2">
      <c r="A25" s="5" t="s">
        <v>37</v>
      </c>
      <c r="B25" s="6">
        <v>2</v>
      </c>
      <c r="C25" s="14" t="s">
        <v>56</v>
      </c>
      <c r="D25" s="14"/>
      <c r="E25" s="37"/>
      <c r="F25" s="54"/>
      <c r="G25" s="55"/>
      <c r="H25" s="56"/>
      <c r="I25" s="37"/>
    </row>
    <row r="26" spans="1:9" ht="15" x14ac:dyDescent="0.2">
      <c r="A26" s="5" t="s">
        <v>31</v>
      </c>
      <c r="B26" s="6">
        <v>1</v>
      </c>
      <c r="C26" s="14" t="s">
        <v>57</v>
      </c>
      <c r="D26" s="14"/>
      <c r="E26" s="37"/>
      <c r="F26" s="57"/>
      <c r="G26" s="53"/>
      <c r="H26" s="53"/>
      <c r="I26" s="37"/>
    </row>
    <row r="27" spans="1:9" ht="13.5" x14ac:dyDescent="0.2">
      <c r="A27" s="5"/>
      <c r="B27" s="6"/>
      <c r="C27" s="14"/>
      <c r="D27" s="14"/>
      <c r="E27" s="37"/>
      <c r="F27" s="59"/>
      <c r="G27" s="60"/>
      <c r="H27" s="60"/>
      <c r="I27" s="37"/>
    </row>
    <row r="28" spans="1:9" ht="13.5" x14ac:dyDescent="0.2">
      <c r="A28" s="5"/>
      <c r="B28" s="6"/>
      <c r="C28" s="14"/>
      <c r="D28" s="14"/>
      <c r="E28" s="37"/>
      <c r="F28" s="59"/>
      <c r="G28" s="60"/>
      <c r="H28" s="60"/>
      <c r="I28" s="37"/>
    </row>
    <row r="29" spans="1:9" ht="13.5" x14ac:dyDescent="0.2">
      <c r="A29" s="5"/>
      <c r="B29" s="6"/>
      <c r="C29" s="14"/>
      <c r="D29" s="14"/>
      <c r="E29" s="37"/>
      <c r="F29" s="59"/>
      <c r="G29" s="60"/>
      <c r="H29" s="60"/>
      <c r="I29" s="37"/>
    </row>
    <row r="30" spans="1:9" ht="13.5" x14ac:dyDescent="0.2">
      <c r="A30" s="5"/>
      <c r="B30" s="6"/>
      <c r="C30" s="14"/>
      <c r="D30" s="14"/>
      <c r="E30" s="37"/>
      <c r="F30" s="59"/>
      <c r="G30" s="60"/>
      <c r="H30" s="60"/>
      <c r="I30" s="37"/>
    </row>
    <row r="31" spans="1:9" ht="13.5" x14ac:dyDescent="0.2">
      <c r="A31" s="6"/>
      <c r="B31" s="6"/>
      <c r="C31" s="14"/>
      <c r="D31" s="14"/>
      <c r="E31" s="37"/>
      <c r="F31" s="59"/>
      <c r="G31" s="60"/>
      <c r="H31" s="60"/>
      <c r="I31" s="37"/>
    </row>
    <row r="32" spans="1:9" ht="13.5" x14ac:dyDescent="0.2">
      <c r="A32" s="6"/>
      <c r="B32" s="6"/>
      <c r="C32" s="14"/>
      <c r="D32" s="14"/>
      <c r="E32" s="37"/>
      <c r="F32" s="59"/>
      <c r="G32" s="60"/>
      <c r="H32" s="60"/>
      <c r="I32" s="37"/>
    </row>
    <row r="33" spans="1:9" ht="13.5" x14ac:dyDescent="0.2">
      <c r="A33" s="6"/>
      <c r="B33" s="6"/>
      <c r="C33" s="14"/>
      <c r="D33" s="14"/>
      <c r="E33" s="37"/>
      <c r="F33" s="59"/>
      <c r="G33" s="60"/>
      <c r="H33" s="60"/>
      <c r="I33" s="37"/>
    </row>
    <row r="34" spans="1:9" ht="13.5" x14ac:dyDescent="0.2">
      <c r="A34" s="79"/>
      <c r="B34" s="79"/>
      <c r="C34" s="80"/>
      <c r="D34" s="80"/>
      <c r="E34" s="37"/>
      <c r="F34" s="59"/>
      <c r="G34" s="60"/>
      <c r="H34" s="60"/>
      <c r="I34" s="37"/>
    </row>
    <row r="35" spans="1:9" ht="13.5" x14ac:dyDescent="0.2">
      <c r="A35" s="79"/>
      <c r="B35" s="79"/>
      <c r="C35" s="80"/>
      <c r="D35" s="80"/>
      <c r="E35" s="37"/>
      <c r="F35" s="61"/>
      <c r="G35" s="62"/>
      <c r="H35" s="62"/>
      <c r="I35" s="37"/>
    </row>
    <row r="36" spans="1:9" ht="15" thickBot="1" x14ac:dyDescent="0.35">
      <c r="A36" s="7"/>
      <c r="B36" s="7"/>
      <c r="C36" s="15"/>
      <c r="D36" s="15"/>
      <c r="E36" s="37"/>
      <c r="F36" s="63"/>
      <c r="G36" s="63"/>
      <c r="H36" s="63"/>
      <c r="I36" s="37"/>
    </row>
    <row r="37" spans="1:9" ht="14.25" thickBot="1" x14ac:dyDescent="0.25">
      <c r="A37" s="76" t="s">
        <v>22</v>
      </c>
      <c r="B37" s="76">
        <f>SUM(B22:B36)</f>
        <v>9</v>
      </c>
      <c r="C37" s="105" t="s">
        <v>45</v>
      </c>
      <c r="D37" s="77"/>
      <c r="E37" s="37"/>
      <c r="F37" s="37"/>
      <c r="G37" s="37"/>
      <c r="H37" s="37"/>
      <c r="I37" s="37"/>
    </row>
    <row r="38" spans="1:9" ht="15" thickBot="1" x14ac:dyDescent="0.35">
      <c r="A38" s="78"/>
      <c r="B38" s="78"/>
      <c r="C38" s="78"/>
      <c r="D38" s="78"/>
      <c r="E38" s="37"/>
      <c r="F38" s="37"/>
      <c r="G38" s="37"/>
      <c r="H38" s="37"/>
      <c r="I38" s="37"/>
    </row>
    <row r="39" spans="1:9" ht="18.75" thickBot="1" x14ac:dyDescent="0.25">
      <c r="A39" s="71" t="s">
        <v>14</v>
      </c>
      <c r="B39" s="72">
        <v>3</v>
      </c>
      <c r="C39" s="73" t="s">
        <v>23</v>
      </c>
      <c r="D39" s="82">
        <v>42830</v>
      </c>
      <c r="E39" s="37"/>
      <c r="F39" s="37"/>
      <c r="G39" s="37"/>
      <c r="H39" s="37"/>
      <c r="I39" s="37"/>
    </row>
    <row r="40" spans="1:9" ht="27.75" thickBot="1" x14ac:dyDescent="0.25">
      <c r="A40" s="74" t="s">
        <v>3</v>
      </c>
      <c r="B40" s="75" t="s">
        <v>15</v>
      </c>
      <c r="C40" s="74" t="s">
        <v>7</v>
      </c>
      <c r="D40" s="74" t="s">
        <v>13</v>
      </c>
    </row>
    <row r="41" spans="1:9" ht="27" x14ac:dyDescent="0.2">
      <c r="A41" s="5" t="s">
        <v>27</v>
      </c>
      <c r="B41" s="8">
        <v>1</v>
      </c>
      <c r="C41" s="13" t="s">
        <v>58</v>
      </c>
      <c r="D41" s="13" t="s">
        <v>72</v>
      </c>
    </row>
    <row r="42" spans="1:9" ht="13.5" x14ac:dyDescent="0.2">
      <c r="A42" s="5" t="s">
        <v>37</v>
      </c>
      <c r="B42" s="6">
        <v>4</v>
      </c>
      <c r="C42" s="14" t="s">
        <v>63</v>
      </c>
      <c r="D42" s="14"/>
    </row>
    <row r="43" spans="1:9" ht="27" x14ac:dyDescent="0.2">
      <c r="A43" s="5" t="s">
        <v>32</v>
      </c>
      <c r="B43" s="6">
        <v>1</v>
      </c>
      <c r="C43" s="14" t="s">
        <v>62</v>
      </c>
      <c r="D43" s="14"/>
    </row>
    <row r="44" spans="1:9" ht="27" x14ac:dyDescent="0.2">
      <c r="A44" s="5" t="s">
        <v>29</v>
      </c>
      <c r="B44" s="6">
        <v>1</v>
      </c>
      <c r="C44" s="14" t="s">
        <v>61</v>
      </c>
      <c r="D44" s="14"/>
    </row>
    <row r="45" spans="1:9" ht="40.5" x14ac:dyDescent="0.2">
      <c r="A45" s="5" t="s">
        <v>30</v>
      </c>
      <c r="B45" s="6">
        <v>1</v>
      </c>
      <c r="C45" s="14" t="s">
        <v>60</v>
      </c>
      <c r="D45" s="14"/>
    </row>
    <row r="46" spans="1:9" ht="13.5" x14ac:dyDescent="0.2">
      <c r="A46" s="5" t="s">
        <v>31</v>
      </c>
      <c r="B46" s="6">
        <v>1</v>
      </c>
      <c r="C46" s="14" t="s">
        <v>59</v>
      </c>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6"/>
      <c r="B50" s="6"/>
      <c r="C50" s="14"/>
      <c r="D50" s="14"/>
    </row>
    <row r="51" spans="1:4" ht="13.5" x14ac:dyDescent="0.2">
      <c r="A51" s="6"/>
      <c r="B51" s="6"/>
      <c r="C51" s="14"/>
      <c r="D51" s="14"/>
    </row>
    <row r="52" spans="1:4" ht="13.5" x14ac:dyDescent="0.2">
      <c r="A52" s="6"/>
      <c r="B52" s="6"/>
      <c r="C52" s="14"/>
      <c r="D52" s="14"/>
    </row>
    <row r="53" spans="1:4" ht="13.5" x14ac:dyDescent="0.2">
      <c r="A53" s="79"/>
      <c r="B53" s="79"/>
      <c r="C53" s="80"/>
      <c r="D53" s="80"/>
    </row>
    <row r="54" spans="1:4" ht="13.5" x14ac:dyDescent="0.2">
      <c r="A54" s="79"/>
      <c r="B54" s="79"/>
      <c r="C54" s="80"/>
      <c r="D54" s="80"/>
    </row>
    <row r="55" spans="1:4" ht="14.25" thickBot="1" x14ac:dyDescent="0.25">
      <c r="A55" s="7"/>
      <c r="B55" s="7"/>
      <c r="C55" s="15"/>
      <c r="D55" s="15"/>
    </row>
    <row r="56" spans="1:4" ht="14.25" thickBot="1" x14ac:dyDescent="0.25">
      <c r="A56" s="76" t="s">
        <v>22</v>
      </c>
      <c r="B56" s="76">
        <f>SUM(B41:B55)</f>
        <v>9</v>
      </c>
      <c r="C56" s="105" t="s">
        <v>45</v>
      </c>
      <c r="D56" s="77"/>
    </row>
    <row r="57" spans="1:4" ht="15" thickBot="1" x14ac:dyDescent="0.35">
      <c r="A57" s="78"/>
      <c r="B57" s="78"/>
      <c r="C57" s="78"/>
      <c r="D57" s="78"/>
    </row>
    <row r="58" spans="1:4" ht="18.75" thickBot="1" x14ac:dyDescent="0.25">
      <c r="A58" s="71" t="s">
        <v>14</v>
      </c>
      <c r="B58" s="72">
        <v>4</v>
      </c>
      <c r="C58" s="73" t="s">
        <v>23</v>
      </c>
      <c r="D58" s="82">
        <v>42851</v>
      </c>
    </row>
    <row r="59" spans="1:4" ht="27.75" thickBot="1" x14ac:dyDescent="0.25">
      <c r="A59" s="74" t="s">
        <v>3</v>
      </c>
      <c r="B59" s="75" t="s">
        <v>15</v>
      </c>
      <c r="C59" s="74" t="s">
        <v>7</v>
      </c>
      <c r="D59" s="74" t="s">
        <v>13</v>
      </c>
    </row>
    <row r="60" spans="1:4" ht="40.5" x14ac:dyDescent="0.2">
      <c r="A60" s="9" t="s">
        <v>28</v>
      </c>
      <c r="B60" s="8">
        <v>2</v>
      </c>
      <c r="C60" s="13" t="s">
        <v>65</v>
      </c>
      <c r="D60" s="13"/>
    </row>
    <row r="61" spans="1:4" ht="27" x14ac:dyDescent="0.2">
      <c r="A61" s="5" t="s">
        <v>37</v>
      </c>
      <c r="B61" s="6">
        <v>6</v>
      </c>
      <c r="C61" s="14" t="s">
        <v>64</v>
      </c>
      <c r="D61" s="14"/>
    </row>
    <row r="62" spans="1:4" ht="13.5" x14ac:dyDescent="0.2">
      <c r="A62" s="5" t="s">
        <v>31</v>
      </c>
      <c r="B62" s="6">
        <v>1</v>
      </c>
      <c r="C62" s="14" t="s">
        <v>59</v>
      </c>
      <c r="D62" s="14"/>
    </row>
    <row r="63" spans="1:4" ht="13.5" x14ac:dyDescent="0.2">
      <c r="A63" s="5"/>
      <c r="B63" s="6"/>
      <c r="C63" s="14"/>
      <c r="D63" s="14"/>
    </row>
    <row r="64" spans="1:4" ht="13.5" x14ac:dyDescent="0.2">
      <c r="A64" s="5"/>
      <c r="B64" s="6"/>
      <c r="C64" s="14"/>
      <c r="D64" s="14"/>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6"/>
      <c r="B69" s="6"/>
      <c r="C69" s="14"/>
      <c r="D69" s="14"/>
    </row>
    <row r="70" spans="1:4" ht="13.5" x14ac:dyDescent="0.2">
      <c r="A70" s="6"/>
      <c r="B70" s="6"/>
      <c r="C70" s="14"/>
      <c r="D70" s="14"/>
    </row>
    <row r="71" spans="1:4" ht="13.5" x14ac:dyDescent="0.2">
      <c r="A71" s="6"/>
      <c r="B71" s="6"/>
      <c r="C71" s="14"/>
      <c r="D71" s="14"/>
    </row>
    <row r="72" spans="1:4" ht="13.5" x14ac:dyDescent="0.2">
      <c r="A72" s="79"/>
      <c r="B72" s="79"/>
      <c r="C72" s="80"/>
      <c r="D72" s="80"/>
    </row>
    <row r="73" spans="1:4" ht="13.5" x14ac:dyDescent="0.2">
      <c r="A73" s="79"/>
      <c r="B73" s="79"/>
      <c r="C73" s="80"/>
      <c r="D73" s="80"/>
    </row>
    <row r="74" spans="1:4" ht="14.25" thickBot="1" x14ac:dyDescent="0.25">
      <c r="A74" s="7"/>
      <c r="B74" s="7"/>
      <c r="C74" s="15"/>
      <c r="D74" s="15"/>
    </row>
    <row r="75" spans="1:4" ht="14.25" thickBot="1" x14ac:dyDescent="0.25">
      <c r="A75" s="76" t="s">
        <v>22</v>
      </c>
      <c r="B75" s="76">
        <f>SUM(B60:B74)</f>
        <v>9</v>
      </c>
      <c r="C75" s="105" t="s">
        <v>45</v>
      </c>
      <c r="D75" s="77"/>
    </row>
    <row r="76" spans="1:4" ht="15" thickBot="1" x14ac:dyDescent="0.35">
      <c r="A76" s="78"/>
      <c r="B76" s="78"/>
      <c r="C76" s="78"/>
      <c r="D76" s="78"/>
    </row>
    <row r="77" spans="1:4" ht="18.75" thickBot="1" x14ac:dyDescent="0.25">
      <c r="A77" s="71" t="s">
        <v>14</v>
      </c>
      <c r="B77" s="72">
        <v>5</v>
      </c>
      <c r="C77" s="73" t="s">
        <v>23</v>
      </c>
      <c r="D77" s="82">
        <v>42858</v>
      </c>
    </row>
    <row r="78" spans="1:4" ht="27.75" thickBot="1" x14ac:dyDescent="0.25">
      <c r="A78" s="74" t="s">
        <v>3</v>
      </c>
      <c r="B78" s="75" t="s">
        <v>15</v>
      </c>
      <c r="C78" s="74" t="s">
        <v>7</v>
      </c>
      <c r="D78" s="74" t="s">
        <v>13</v>
      </c>
    </row>
    <row r="79" spans="1:4" ht="40.5" x14ac:dyDescent="0.2">
      <c r="A79" s="9"/>
      <c r="B79" s="8"/>
      <c r="C79" s="13"/>
      <c r="D79" s="13" t="s">
        <v>73</v>
      </c>
    </row>
    <row r="80" spans="1:4" ht="13.5" x14ac:dyDescent="0.2">
      <c r="A80" s="5"/>
      <c r="B80" s="6"/>
      <c r="C80" s="14"/>
      <c r="D80" s="14"/>
    </row>
    <row r="81" spans="1:4" ht="13.5" x14ac:dyDescent="0.2">
      <c r="A81" s="5"/>
      <c r="B81" s="6"/>
      <c r="C81" s="14"/>
      <c r="D81" s="14"/>
    </row>
    <row r="82" spans="1:4" ht="13.5" x14ac:dyDescent="0.2">
      <c r="A82" s="5"/>
      <c r="B82" s="6"/>
      <c r="C82" s="14"/>
      <c r="D82" s="14"/>
    </row>
    <row r="83" spans="1:4" ht="13.5" x14ac:dyDescent="0.2">
      <c r="A83" s="5"/>
      <c r="B83" s="6"/>
      <c r="C83" s="14"/>
      <c r="D83" s="14"/>
    </row>
    <row r="84" spans="1:4" ht="13.5" x14ac:dyDescent="0.2">
      <c r="A84" s="5"/>
      <c r="B84" s="6"/>
      <c r="C84" s="14"/>
      <c r="D84" s="14"/>
    </row>
    <row r="85" spans="1:4" ht="13.5" x14ac:dyDescent="0.2">
      <c r="A85" s="5"/>
      <c r="B85" s="6"/>
      <c r="C85" s="14"/>
      <c r="D85" s="14"/>
    </row>
    <row r="86" spans="1:4" ht="13.5" x14ac:dyDescent="0.2">
      <c r="A86" s="5"/>
      <c r="B86" s="6"/>
      <c r="C86" s="14"/>
      <c r="D86" s="14"/>
    </row>
    <row r="87" spans="1:4" ht="13.5" x14ac:dyDescent="0.2">
      <c r="A87" s="5"/>
      <c r="B87" s="6"/>
      <c r="C87" s="14"/>
      <c r="D87" s="14"/>
    </row>
    <row r="88" spans="1:4" ht="13.5" x14ac:dyDescent="0.2">
      <c r="A88" s="6"/>
      <c r="B88" s="6"/>
      <c r="C88" s="14"/>
      <c r="D88" s="14"/>
    </row>
    <row r="89" spans="1:4" ht="13.5" x14ac:dyDescent="0.2">
      <c r="A89" s="6"/>
      <c r="B89" s="6"/>
      <c r="C89" s="14"/>
      <c r="D89" s="14"/>
    </row>
    <row r="90" spans="1:4" ht="13.5" x14ac:dyDescent="0.2">
      <c r="A90" s="6"/>
      <c r="B90" s="6"/>
      <c r="C90" s="14"/>
      <c r="D90" s="14"/>
    </row>
    <row r="91" spans="1:4" ht="13.5" x14ac:dyDescent="0.2">
      <c r="A91" s="79"/>
      <c r="B91" s="79"/>
      <c r="C91" s="80"/>
      <c r="D91" s="80"/>
    </row>
    <row r="92" spans="1:4" ht="13.5" x14ac:dyDescent="0.2">
      <c r="A92" s="79"/>
      <c r="B92" s="79"/>
      <c r="C92" s="80"/>
      <c r="D92" s="80"/>
    </row>
    <row r="93" spans="1:4" ht="14.25" thickBot="1" x14ac:dyDescent="0.25">
      <c r="A93" s="7"/>
      <c r="B93" s="7"/>
      <c r="C93" s="15"/>
      <c r="D93" s="15"/>
    </row>
    <row r="94" spans="1:4" ht="14.25" thickBot="1" x14ac:dyDescent="0.25">
      <c r="A94" s="76" t="s">
        <v>22</v>
      </c>
      <c r="B94" s="76">
        <f>SUM(B79:B93)</f>
        <v>0</v>
      </c>
      <c r="C94" s="105" t="s">
        <v>45</v>
      </c>
      <c r="D94" s="77"/>
    </row>
    <row r="95" spans="1:4" ht="15" thickBot="1" x14ac:dyDescent="0.35">
      <c r="A95" s="78"/>
      <c r="B95" s="78"/>
      <c r="C95" s="78"/>
      <c r="D95" s="78"/>
    </row>
    <row r="96" spans="1:4" ht="18.75" thickBot="1" x14ac:dyDescent="0.25">
      <c r="A96" s="71" t="s">
        <v>14</v>
      </c>
      <c r="B96" s="72">
        <v>6</v>
      </c>
      <c r="C96" s="73" t="s">
        <v>23</v>
      </c>
      <c r="D96" s="82">
        <v>42865</v>
      </c>
    </row>
    <row r="97" spans="1:4" ht="27.75" thickBot="1" x14ac:dyDescent="0.25">
      <c r="A97" s="74" t="s">
        <v>3</v>
      </c>
      <c r="B97" s="75" t="s">
        <v>15</v>
      </c>
      <c r="C97" s="74" t="s">
        <v>7</v>
      </c>
      <c r="D97" s="74" t="s">
        <v>13</v>
      </c>
    </row>
    <row r="98" spans="1:4" ht="40.5" x14ac:dyDescent="0.2">
      <c r="A98" s="9"/>
      <c r="B98" s="8">
        <v>3</v>
      </c>
      <c r="C98" s="13" t="s">
        <v>66</v>
      </c>
      <c r="D98" s="13"/>
    </row>
    <row r="99" spans="1:4" ht="27" x14ac:dyDescent="0.2">
      <c r="A99" s="5"/>
      <c r="B99" s="6">
        <v>5</v>
      </c>
      <c r="C99" s="14" t="s">
        <v>67</v>
      </c>
      <c r="D99" s="14"/>
    </row>
    <row r="100" spans="1:4" ht="13.5" x14ac:dyDescent="0.2">
      <c r="A100" s="5"/>
      <c r="B100" s="6">
        <v>1</v>
      </c>
      <c r="C100" s="14" t="s">
        <v>59</v>
      </c>
      <c r="D100" s="14"/>
    </row>
    <row r="101" spans="1:4" ht="94.5" x14ac:dyDescent="0.2">
      <c r="A101" s="5"/>
      <c r="B101" s="6">
        <v>1</v>
      </c>
      <c r="C101" s="14" t="s">
        <v>68</v>
      </c>
      <c r="D101" s="14"/>
    </row>
    <row r="102" spans="1:4" ht="27" x14ac:dyDescent="0.2">
      <c r="A102" s="5" t="s">
        <v>28</v>
      </c>
      <c r="B102" s="6">
        <v>1</v>
      </c>
      <c r="C102" s="14" t="s">
        <v>69</v>
      </c>
      <c r="D102" s="14"/>
    </row>
    <row r="103" spans="1:4" ht="40.5" x14ac:dyDescent="0.2">
      <c r="A103" s="5" t="s">
        <v>35</v>
      </c>
      <c r="B103" s="6">
        <v>4</v>
      </c>
      <c r="C103" s="14" t="s">
        <v>70</v>
      </c>
      <c r="D103" s="14"/>
    </row>
    <row r="104" spans="1:4" ht="13.5" x14ac:dyDescent="0.2">
      <c r="A104" s="5" t="s">
        <v>35</v>
      </c>
      <c r="B104" s="6">
        <v>3</v>
      </c>
      <c r="C104" s="14" t="s">
        <v>71</v>
      </c>
      <c r="D104" s="14"/>
    </row>
    <row r="105" spans="1:4" ht="13.5" x14ac:dyDescent="0.2">
      <c r="A105" s="5" t="s">
        <v>31</v>
      </c>
      <c r="B105" s="6">
        <v>1</v>
      </c>
      <c r="C105" s="14" t="s">
        <v>59</v>
      </c>
      <c r="D105" s="14"/>
    </row>
    <row r="106" spans="1:4" ht="13.5" x14ac:dyDescent="0.2">
      <c r="A106" s="5"/>
      <c r="B106" s="6"/>
      <c r="C106" s="14"/>
      <c r="D106" s="14"/>
    </row>
    <row r="107" spans="1:4" ht="13.5" x14ac:dyDescent="0.2">
      <c r="A107" s="6"/>
      <c r="B107" s="6"/>
      <c r="C107" s="14"/>
      <c r="D107" s="14"/>
    </row>
    <row r="108" spans="1:4" ht="13.5" x14ac:dyDescent="0.2">
      <c r="A108" s="6"/>
      <c r="B108" s="6"/>
      <c r="C108" s="14"/>
      <c r="D108" s="14"/>
    </row>
    <row r="109" spans="1:4" ht="13.5" x14ac:dyDescent="0.2">
      <c r="A109" s="6"/>
      <c r="B109" s="6"/>
      <c r="C109" s="14"/>
      <c r="D109" s="14"/>
    </row>
    <row r="110" spans="1:4" ht="13.5" x14ac:dyDescent="0.2">
      <c r="A110" s="79"/>
      <c r="B110" s="79"/>
      <c r="C110" s="80"/>
      <c r="D110" s="80"/>
    </row>
    <row r="111" spans="1:4" ht="13.5" x14ac:dyDescent="0.2">
      <c r="A111" s="79"/>
      <c r="B111" s="79"/>
      <c r="C111" s="80"/>
      <c r="D111" s="80"/>
    </row>
    <row r="112" spans="1:4" ht="14.25" thickBot="1" x14ac:dyDescent="0.25">
      <c r="A112" s="7"/>
      <c r="B112" s="7"/>
      <c r="C112" s="15"/>
      <c r="D112" s="15"/>
    </row>
    <row r="113" spans="1:4" ht="14.25" thickBot="1" x14ac:dyDescent="0.25">
      <c r="A113" s="76" t="s">
        <v>22</v>
      </c>
      <c r="B113" s="76">
        <f>SUM(B98:B112)</f>
        <v>19</v>
      </c>
      <c r="C113" s="105" t="s">
        <v>45</v>
      </c>
      <c r="D113" s="77"/>
    </row>
    <row r="114" spans="1:4" ht="15" thickBot="1" x14ac:dyDescent="0.35">
      <c r="A114" s="78"/>
      <c r="B114" s="78"/>
      <c r="C114" s="78"/>
      <c r="D114" s="78"/>
    </row>
    <row r="115" spans="1:4" ht="18.75" thickBot="1" x14ac:dyDescent="0.25">
      <c r="A115" s="71" t="s">
        <v>14</v>
      </c>
      <c r="B115" s="72">
        <v>7</v>
      </c>
      <c r="C115" s="73" t="s">
        <v>23</v>
      </c>
      <c r="D115" s="82">
        <v>42872</v>
      </c>
    </row>
    <row r="116" spans="1:4" ht="27.75" thickBot="1" x14ac:dyDescent="0.25">
      <c r="A116" s="74" t="s">
        <v>3</v>
      </c>
      <c r="B116" s="75" t="s">
        <v>15</v>
      </c>
      <c r="C116" s="74" t="s">
        <v>7</v>
      </c>
      <c r="D116" s="74" t="s">
        <v>13</v>
      </c>
    </row>
    <row r="117" spans="1:4" ht="13.5" x14ac:dyDescent="0.2">
      <c r="A117" s="9"/>
      <c r="B117" s="8"/>
      <c r="C117" s="13"/>
      <c r="D117" s="13"/>
    </row>
    <row r="118" spans="1:4" ht="13.5" x14ac:dyDescent="0.2">
      <c r="A118" s="5"/>
      <c r="B118" s="6"/>
      <c r="C118" s="14"/>
      <c r="D118" s="14"/>
    </row>
    <row r="119" spans="1:4" ht="13.5" x14ac:dyDescent="0.2">
      <c r="A119" s="5"/>
      <c r="B119" s="6"/>
      <c r="C119" s="14"/>
      <c r="D119" s="14"/>
    </row>
    <row r="120" spans="1:4" ht="13.5" x14ac:dyDescent="0.2">
      <c r="A120" s="5"/>
      <c r="B120" s="6"/>
      <c r="C120" s="14"/>
      <c r="D120" s="14"/>
    </row>
    <row r="121" spans="1:4" ht="13.5" x14ac:dyDescent="0.2">
      <c r="A121" s="5"/>
      <c r="B121" s="6"/>
      <c r="C121" s="14"/>
      <c r="D121" s="14"/>
    </row>
    <row r="122" spans="1:4" ht="13.5" x14ac:dyDescent="0.2">
      <c r="A122" s="5"/>
      <c r="B122" s="6"/>
      <c r="C122" s="14"/>
      <c r="D122" s="14"/>
    </row>
    <row r="123" spans="1:4" ht="13.5" x14ac:dyDescent="0.2">
      <c r="A123" s="5"/>
      <c r="B123" s="6"/>
      <c r="C123" s="14"/>
      <c r="D123" s="14"/>
    </row>
    <row r="124" spans="1:4" ht="13.5" x14ac:dyDescent="0.2">
      <c r="A124" s="5"/>
      <c r="B124" s="6"/>
      <c r="C124" s="14"/>
      <c r="D124" s="14"/>
    </row>
    <row r="125" spans="1:4" ht="13.5" x14ac:dyDescent="0.2">
      <c r="A125" s="5"/>
      <c r="B125" s="6"/>
      <c r="C125" s="14"/>
      <c r="D125" s="14"/>
    </row>
    <row r="126" spans="1:4" ht="13.5" x14ac:dyDescent="0.2">
      <c r="A126" s="6"/>
      <c r="B126" s="6"/>
      <c r="C126" s="14"/>
      <c r="D126" s="14"/>
    </row>
    <row r="127" spans="1:4" ht="13.5" x14ac:dyDescent="0.2">
      <c r="A127" s="6"/>
      <c r="B127" s="6"/>
      <c r="C127" s="14"/>
      <c r="D127" s="14"/>
    </row>
    <row r="128" spans="1:4" ht="13.5" x14ac:dyDescent="0.2">
      <c r="A128" s="6"/>
      <c r="B128" s="6"/>
      <c r="C128" s="14"/>
      <c r="D128" s="14"/>
    </row>
    <row r="129" spans="1:4" ht="13.5" x14ac:dyDescent="0.2">
      <c r="A129" s="79"/>
      <c r="B129" s="79"/>
      <c r="C129" s="80"/>
      <c r="D129" s="80"/>
    </row>
    <row r="130" spans="1:4" ht="13.5" x14ac:dyDescent="0.2">
      <c r="A130" s="79"/>
      <c r="B130" s="79"/>
      <c r="C130" s="80"/>
      <c r="D130" s="80"/>
    </row>
    <row r="131" spans="1:4" ht="14.25" thickBot="1" x14ac:dyDescent="0.25">
      <c r="A131" s="7"/>
      <c r="B131" s="7"/>
      <c r="C131" s="15"/>
      <c r="D131" s="15"/>
    </row>
    <row r="132" spans="1:4" ht="14.25" thickBot="1" x14ac:dyDescent="0.25">
      <c r="A132" s="76" t="s">
        <v>22</v>
      </c>
      <c r="B132" s="76">
        <f>SUM(B117:B131)</f>
        <v>0</v>
      </c>
      <c r="C132" s="105" t="s">
        <v>45</v>
      </c>
      <c r="D132" s="77"/>
    </row>
    <row r="133" spans="1:4" ht="14.25" x14ac:dyDescent="0.3">
      <c r="A133" s="78"/>
      <c r="B133" s="78"/>
      <c r="C133" s="78"/>
      <c r="D133" s="78"/>
    </row>
    <row r="134" spans="1:4" x14ac:dyDescent="0.2">
      <c r="A134" s="106" t="s">
        <v>46</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3:B17 B117:B131 B22:B36 B41:B55 B79:B93 B98:B112 B60:B74">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formula1>0</formula1>
      <formula2>NbPerWeek * NbQuartPer</formula2>
    </dataValidation>
    <dataValidation type="list" allowBlank="1" showInputMessage="1" showErrorMessage="1" sqref="A3:A17 A22:A36 A117:A131 A41:A55 A79:A93 A60:A74 A98:A112">
      <formula1>lstTasks</formula1>
    </dataValidation>
  </dataValidations>
  <hyperlinks>
    <hyperlink ref="D6" r:id="rId1"/>
  </hyperlinks>
  <printOptions horizontalCentered="1" verticalCentered="1"/>
  <pageMargins left="0.25" right="0.25" top="0.75" bottom="0.75" header="0.3" footer="0.3"/>
  <pageSetup paperSize="9" scale="61" fitToHeight="0" orientation="portrait" cellComments="atEnd" r:id="rId2"/>
  <headerFooter>
    <oddHeader>&amp;L&amp;"ETML L,Normal"&amp;24ETML</oddHeader>
    <oddFooter>&amp;C&amp;F&amp;L&amp;D</oddFooter>
  </headerFooter>
  <drawing r:id="rId3"/>
  <legacyDrawing r:id="rId4"/>
  <controls>
    <mc:AlternateContent xmlns:mc="http://schemas.openxmlformats.org/markup-compatibility/2006">
      <mc:Choice Requires="x14">
        <control shapeId="43009" r:id="rId5" name="btnImportRealisation">
          <controlPr defaultSize="0" autoLine="0" r:id="rId6">
            <anchor moveWithCells="1">
              <from>
                <xdr:col>4</xdr:col>
                <xdr:colOff>590550</xdr:colOff>
                <xdr:row>0</xdr:row>
                <xdr:rowOff>180975</xdr:rowOff>
              </from>
              <to>
                <xdr:col>7</xdr:col>
                <xdr:colOff>257175</xdr:colOff>
                <xdr:row>2</xdr:row>
                <xdr:rowOff>152400</xdr:rowOff>
              </to>
            </anchor>
          </controlPr>
        </control>
      </mc:Choice>
      <mc:Fallback>
        <control shapeId="43009" r:id="rId5"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Planning</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2017-05-16T11:48:48Z</dcterms:modified>
  <cp:contentStatus>Version 8.0</cp:contentStatus>
</cp:coreProperties>
</file>