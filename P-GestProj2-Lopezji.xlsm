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opezji\Desktop\"/>
    </mc:Choice>
  </mc:AlternateContent>
  <bookViews>
    <workbookView xWindow="0" yWindow="0" windowWidth="18870" windowHeight="7725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7" r:id="rId7"/>
    <sheet name="JNLTRAV" sheetId="156" r:id="rId8"/>
  </sheets>
  <definedNames>
    <definedName name="datDateBegin">Donnees!$C$9</definedName>
    <definedName name="ListTasks">Diagramme!$B$3:$B$26</definedName>
    <definedName name="lstTasks">Donnees!$C$20:$C$45</definedName>
    <definedName name="NbLessons">Diagramme!$C$3:$C$26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Diagramme!$A$1:$BO$29</definedName>
    <definedName name="_xlnm.Print_Area" localSheetId="0">Donnees!$A$1:$G$54</definedName>
    <definedName name="_xlnm.Print_Area" localSheetId="7">JNLTRAV!$A$1:$D$133</definedName>
    <definedName name="_xlnm.Print_Area" localSheetId="6">Planning!$A$1:$D$98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B132" i="156"/>
  <c r="B113" i="156"/>
  <c r="B94" i="156"/>
  <c r="B75" i="156"/>
  <c r="B56" i="156"/>
  <c r="B37" i="156"/>
  <c r="B18" i="156"/>
  <c r="B25" i="155"/>
  <c r="B23" i="155"/>
  <c r="B21" i="155"/>
  <c r="B19" i="155"/>
  <c r="B17" i="155"/>
  <c r="B15" i="155"/>
  <c r="B13" i="155"/>
  <c r="B11" i="155"/>
  <c r="B9" i="155"/>
  <c r="B7" i="155"/>
  <c r="B5" i="155"/>
  <c r="C28" i="155"/>
  <c r="C27" i="155"/>
  <c r="B18" i="154" l="1"/>
  <c r="B13" i="11"/>
</calcChain>
</file>

<file path=xl/sharedStrings.xml><?xml version="1.0" encoding="utf-8"?>
<sst xmlns="http://schemas.openxmlformats.org/spreadsheetml/2006/main" count="198" uniqueCount="60">
  <si>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</si>
  <si>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</si>
  <si>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</si>
  <si>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</si>
  <si>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</si>
  <si>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</si>
  <si>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</si>
  <si>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</si>
  <si>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</si>
  <si>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</si>
  <si>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</si>
  <si>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</si>
  <si>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</si>
  <si>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</si>
  <si>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</si>
  <si>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</si>
  <si>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</si>
  <si>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</si>
  <si>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</si>
  <si>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</si>
  <si>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</si>
  <si>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</si>
  <si>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</si>
  <si>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</si>
  <si>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</si>
  <si>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</si>
  <si>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</si>
  <si>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</si>
  <si>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</si>
  <si>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</si>
  <si>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retrospective</t>
  </si>
  <si>
    <t>Journal de travail</t>
  </si>
  <si>
    <t>MCD/MLD</t>
  </si>
  <si>
    <t>Site</t>
  </si>
  <si>
    <t>Requête SQL</t>
  </si>
  <si>
    <t>PHP</t>
  </si>
  <si>
    <t>Script SQL</t>
  </si>
  <si>
    <t>Documentation</t>
  </si>
  <si>
    <t>S 1</t>
  </si>
  <si>
    <t>S 2</t>
  </si>
  <si>
    <t>S 3</t>
  </si>
  <si>
    <t>S 4</t>
  </si>
  <si>
    <t>S 5</t>
  </si>
  <si>
    <t>S 6</t>
  </si>
  <si>
    <t>S 7</t>
  </si>
  <si>
    <t>Max. 9</t>
  </si>
  <si>
    <t>STOP</t>
  </si>
  <si>
    <t>Création des users story sur trello avec séparation de couleurs pour différencier les groupes de tâches</t>
  </si>
  <si>
    <t>Implémentation de données</t>
  </si>
  <si>
    <t>Mise à jour du journal de travail</t>
  </si>
  <si>
    <t>Jimmy Lopez</t>
  </si>
  <si>
    <t>Explication du maitre de classe (GGZ) sur l'utilisation de trello</t>
  </si>
  <si>
    <t>Organisation premier Sprint</t>
  </si>
  <si>
    <t>Daily scrum</t>
  </si>
  <si>
    <t>Création du journal de travail + mise à jour du journal de travail</t>
  </si>
  <si>
    <t>Recherches</t>
  </si>
  <si>
    <t>Recherche d'un template. Recherche des icones disponibles pour créer la page modèle. Recherche du bout de code d'une partie désirée du template.</t>
  </si>
  <si>
    <t xml:space="preserve">Création du site en php. Page modèle créée grâce au template trouvé. (bootstrap) Modification de la page modèle (suppression des éléments inutiles). </t>
  </si>
  <si>
    <t>Fin du modèle + création de la page d'accueil.</t>
  </si>
  <si>
    <t>Recherche sur le site de bootstrap pour prendre les élements importants.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</si>
</sst>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="85" zoomScaleNormal="85" workbookViewId="0">
      <selection activeCell="C33" sqref="C33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50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4" t="s">
        <v>19</v>
      </c>
      <c r="C19" s="11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34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48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N2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66" ht="13.5" thickBot="1" x14ac:dyDescent="0.25">
      <c r="B1" s="84"/>
      <c r="C1" s="84"/>
    </row>
    <row r="2" spans="1:66" ht="42.75" customHeight="1" thickBot="1" x14ac:dyDescent="0.25">
      <c r="A2" s="85"/>
      <c r="B2" s="45" t="s">
        <v>5</v>
      </c>
      <c r="C2" s="29" t="s">
        <v>18</v>
      </c>
      <c r="D2" s="116" t="s">
        <v>38</v>
      </c>
      <c r="E2" s="117"/>
      <c r="F2" s="117"/>
      <c r="G2" s="117"/>
      <c r="H2" s="117"/>
      <c r="I2" s="117"/>
      <c r="J2" s="117"/>
      <c r="K2" s="117"/>
      <c r="L2" s="118"/>
      <c r="M2" s="116" t="s">
        <v>39</v>
      </c>
      <c r="N2" s="117"/>
      <c r="O2" s="117"/>
      <c r="P2" s="117"/>
      <c r="Q2" s="117"/>
      <c r="R2" s="117"/>
      <c r="S2" s="117"/>
      <c r="T2" s="117"/>
      <c r="U2" s="118"/>
      <c r="V2" s="116" t="s">
        <v>40</v>
      </c>
      <c r="W2" s="117"/>
      <c r="X2" s="117"/>
      <c r="Y2" s="117"/>
      <c r="Z2" s="117"/>
      <c r="AA2" s="117"/>
      <c r="AB2" s="117"/>
      <c r="AC2" s="117"/>
      <c r="AD2" s="118"/>
      <c r="AE2" s="116" t="s">
        <v>41</v>
      </c>
      <c r="AF2" s="117"/>
      <c r="AG2" s="117"/>
      <c r="AH2" s="117"/>
      <c r="AI2" s="117"/>
      <c r="AJ2" s="117"/>
      <c r="AK2" s="117"/>
      <c r="AL2" s="117"/>
      <c r="AM2" s="118"/>
      <c r="AN2" s="116" t="s">
        <v>42</v>
      </c>
      <c r="AO2" s="117"/>
      <c r="AP2" s="117"/>
      <c r="AQ2" s="117"/>
      <c r="AR2" s="117"/>
      <c r="AS2" s="117"/>
      <c r="AT2" s="117"/>
      <c r="AU2" s="117"/>
      <c r="AV2" s="118"/>
      <c r="AW2" s="116" t="s">
        <v>43</v>
      </c>
      <c r="AX2" s="117"/>
      <c r="AY2" s="117"/>
      <c r="AZ2" s="117"/>
      <c r="BA2" s="117"/>
      <c r="BB2" s="117"/>
      <c r="BC2" s="117"/>
      <c r="BD2" s="117"/>
      <c r="BE2" s="118"/>
      <c r="BF2" s="116" t="s">
        <v>44</v>
      </c>
      <c r="BG2" s="117"/>
      <c r="BH2" s="117"/>
      <c r="BI2" s="117"/>
      <c r="BJ2" s="117"/>
      <c r="BK2" s="117"/>
      <c r="BL2" s="117"/>
      <c r="BM2" s="117"/>
      <c r="BN2" s="118"/>
    </row>
    <row r="3" spans="1:66" ht="19.5" customHeight="1" x14ac:dyDescent="0.2">
      <c r="A3" s="85"/>
      <c r="B3" s="121" t="s">
        <v>21</v>
      </c>
      <c r="C3" s="30">
        <v>6</v>
      </c>
      <c r="D3" s="108"/>
      <c r="E3" s="109"/>
      <c r="F3" s="110"/>
      <c r="G3" s="89"/>
      <c r="H3" s="87"/>
      <c r="I3" s="88"/>
      <c r="J3" s="111"/>
      <c r="K3" s="109"/>
      <c r="L3" s="112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</row>
    <row r="4" spans="1:66" ht="19.5" customHeight="1" thickBot="1" x14ac:dyDescent="0.25">
      <c r="A4" s="85"/>
      <c r="B4" s="122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</row>
    <row r="5" spans="1:66" ht="19.5" customHeight="1" x14ac:dyDescent="0.2">
      <c r="B5" s="123" t="str">
        <f>Donnees!$C$21</f>
        <v>Sprint planning</v>
      </c>
      <c r="C5" s="96">
        <v>1</v>
      </c>
      <c r="D5" s="86"/>
      <c r="E5" s="87"/>
      <c r="F5" s="88"/>
      <c r="G5" s="111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</row>
    <row r="6" spans="1:66" ht="19.5" customHeight="1" thickBot="1" x14ac:dyDescent="0.25">
      <c r="B6" s="120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</row>
    <row r="7" spans="1:66" ht="19.5" customHeight="1" x14ac:dyDescent="0.2">
      <c r="B7" s="119" t="str">
        <f>Donnees!$C$22</f>
        <v>Daily Scrum</v>
      </c>
      <c r="C7" s="96">
        <v>1</v>
      </c>
      <c r="D7" s="86"/>
      <c r="E7" s="87"/>
      <c r="F7" s="88"/>
      <c r="G7" s="89"/>
      <c r="H7" s="87"/>
      <c r="I7" s="88"/>
      <c r="J7" s="89"/>
      <c r="K7" s="87"/>
      <c r="L7" s="90"/>
      <c r="M7" s="108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</row>
    <row r="8" spans="1:66" ht="19.5" customHeight="1" thickBot="1" x14ac:dyDescent="0.25">
      <c r="B8" s="120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</row>
    <row r="9" spans="1:66" ht="19.5" customHeight="1" x14ac:dyDescent="0.2">
      <c r="B9" s="119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</row>
    <row r="10" spans="1:66" ht="19.5" customHeight="1" thickBot="1" x14ac:dyDescent="0.25">
      <c r="B10" s="120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</row>
    <row r="11" spans="1:66" ht="19.5" customHeight="1" x14ac:dyDescent="0.2">
      <c r="B11" s="119" t="str">
        <f>Donnees!$C$24</f>
        <v>Sprint retrospective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</row>
    <row r="12" spans="1:66" ht="19.5" customHeight="1" thickBot="1" x14ac:dyDescent="0.25">
      <c r="B12" s="120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</row>
    <row r="13" spans="1:66" ht="19.5" customHeight="1" x14ac:dyDescent="0.2">
      <c r="B13" s="119" t="str">
        <f>Donnees!$C$25</f>
        <v>Journal de travail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</row>
    <row r="14" spans="1:66" ht="19.5" customHeight="1" thickBot="1" x14ac:dyDescent="0.25">
      <c r="B14" s="120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</row>
    <row r="15" spans="1:66" ht="19.5" customHeight="1" x14ac:dyDescent="0.2">
      <c r="B15" s="119" t="str">
        <f>Donnees!$C$26</f>
        <v>MCD/MLD</v>
      </c>
      <c r="C15" s="96">
        <v>2</v>
      </c>
      <c r="D15" s="86"/>
      <c r="E15" s="87"/>
      <c r="F15" s="88"/>
      <c r="G15" s="89"/>
      <c r="H15" s="109"/>
      <c r="I15" s="110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</row>
    <row r="16" spans="1:66" ht="19.5" customHeight="1" thickBot="1" x14ac:dyDescent="0.25">
      <c r="A16" s="98"/>
      <c r="B16" s="120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</row>
    <row r="17" spans="2:66" ht="19.5" customHeight="1" x14ac:dyDescent="0.2">
      <c r="B17" s="119" t="str">
        <f>Donnees!$C$27</f>
        <v>Site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</row>
    <row r="18" spans="2:66" ht="19.5" customHeight="1" thickBot="1" x14ac:dyDescent="0.25">
      <c r="B18" s="120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</row>
    <row r="19" spans="2:66" ht="19.5" customHeight="1" x14ac:dyDescent="0.2">
      <c r="B19" s="119" t="str">
        <f>Donnees!$C$28</f>
        <v>PHP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</row>
    <row r="20" spans="2:66" ht="19.5" customHeight="1" thickBot="1" x14ac:dyDescent="0.25">
      <c r="B20" s="120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</row>
    <row r="21" spans="2:66" ht="19.5" customHeight="1" x14ac:dyDescent="0.2">
      <c r="B21" s="119" t="str">
        <f>Donnees!$C$29</f>
        <v>Requête SQL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</row>
    <row r="22" spans="2:66" ht="19.5" customHeight="1" thickBot="1" x14ac:dyDescent="0.25">
      <c r="B22" s="120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</row>
    <row r="23" spans="2:66" ht="19.5" customHeight="1" x14ac:dyDescent="0.2">
      <c r="B23" s="119" t="str">
        <f>Donnees!$C$30</f>
        <v>Script SQL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</row>
    <row r="24" spans="2:66" ht="19.5" customHeight="1" thickBot="1" x14ac:dyDescent="0.25">
      <c r="B24" s="120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</row>
    <row r="25" spans="2:66" ht="19.5" customHeight="1" x14ac:dyDescent="0.2">
      <c r="B25" s="119" t="str">
        <f>Donnees!$C$31</f>
        <v>Implémentation de données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</row>
    <row r="26" spans="2:66" ht="19.5" customHeight="1" x14ac:dyDescent="0.2">
      <c r="B26" s="120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</row>
    <row r="27" spans="2:66" ht="19.5" customHeight="1" x14ac:dyDescent="0.2">
      <c r="B27" s="47" t="s">
        <v>16</v>
      </c>
      <c r="C27" s="49">
        <f>SUM($C$3,$C$5,$C$7,$C$9,$C$11,$C$13,$C$15,$C$17,$C$19,$C$21,$C$23,$C$25)</f>
        <v>10</v>
      </c>
      <c r="D27" s="99"/>
      <c r="E27" s="100"/>
      <c r="F27" s="100"/>
      <c r="G27" s="100"/>
      <c r="H27" s="100"/>
      <c r="I27" s="100"/>
      <c r="J27" s="100"/>
      <c r="K27" s="100"/>
      <c r="L27" s="101"/>
      <c r="M27" s="99"/>
      <c r="N27" s="100"/>
      <c r="O27" s="100"/>
      <c r="P27" s="100"/>
      <c r="Q27" s="100"/>
      <c r="R27" s="100"/>
      <c r="S27" s="100"/>
      <c r="T27" s="100"/>
      <c r="U27" s="101"/>
      <c r="V27" s="99"/>
      <c r="W27" s="100"/>
      <c r="X27" s="100"/>
      <c r="Y27" s="100"/>
      <c r="Z27" s="100"/>
      <c r="AA27" s="100"/>
      <c r="AB27" s="100"/>
      <c r="AC27" s="100"/>
      <c r="AD27" s="101"/>
      <c r="AE27" s="99"/>
      <c r="AF27" s="100"/>
      <c r="AG27" s="100"/>
      <c r="AH27" s="100"/>
      <c r="AI27" s="100"/>
      <c r="AJ27" s="100"/>
      <c r="AK27" s="100"/>
      <c r="AL27" s="100"/>
      <c r="AM27" s="101"/>
      <c r="AN27" s="99"/>
      <c r="AO27" s="100"/>
      <c r="AP27" s="100"/>
      <c r="AQ27" s="100"/>
      <c r="AR27" s="100"/>
      <c r="AS27" s="100"/>
      <c r="AT27" s="100"/>
      <c r="AU27" s="100"/>
      <c r="AV27" s="101"/>
      <c r="AW27" s="99"/>
      <c r="AX27" s="100"/>
      <c r="AY27" s="100"/>
      <c r="AZ27" s="100"/>
      <c r="BA27" s="100"/>
      <c r="BB27" s="100"/>
      <c r="BC27" s="100"/>
      <c r="BD27" s="100"/>
      <c r="BE27" s="101"/>
      <c r="BF27" s="99"/>
      <c r="BG27" s="100"/>
      <c r="BH27" s="100"/>
      <c r="BI27" s="100"/>
      <c r="BJ27" s="100"/>
      <c r="BK27" s="100"/>
      <c r="BL27" s="100"/>
      <c r="BM27" s="100"/>
      <c r="BN27" s="101"/>
    </row>
    <row r="28" spans="2:66" ht="19.5" customHeight="1" thickBot="1" x14ac:dyDescent="0.25">
      <c r="B28" s="48" t="s">
        <v>17</v>
      </c>
      <c r="C28" s="50">
        <f>SUM($C$4,$C$6,$C$8,$C$10,$C$12,$C$14,$C$16,$C$18,$C$20,$C$22,$C$24,$C$26)</f>
        <v>0</v>
      </c>
      <c r="D28" s="102"/>
      <c r="E28" s="103"/>
      <c r="F28" s="103"/>
      <c r="G28" s="103"/>
      <c r="H28" s="103"/>
      <c r="I28" s="103"/>
      <c r="J28" s="103"/>
      <c r="K28" s="103"/>
      <c r="L28" s="104"/>
      <c r="M28" s="102"/>
      <c r="N28" s="103"/>
      <c r="O28" s="103"/>
      <c r="P28" s="103"/>
      <c r="Q28" s="103"/>
      <c r="R28" s="103"/>
      <c r="S28" s="103"/>
      <c r="T28" s="103"/>
      <c r="U28" s="104"/>
      <c r="V28" s="102"/>
      <c r="W28" s="103"/>
      <c r="X28" s="103"/>
      <c r="Y28" s="103"/>
      <c r="Z28" s="103"/>
      <c r="AA28" s="103"/>
      <c r="AB28" s="103"/>
      <c r="AC28" s="103"/>
      <c r="AD28" s="104"/>
      <c r="AE28" s="102"/>
      <c r="AF28" s="103"/>
      <c r="AG28" s="103"/>
      <c r="AH28" s="103"/>
      <c r="AI28" s="103"/>
      <c r="AJ28" s="103"/>
      <c r="AK28" s="103"/>
      <c r="AL28" s="103"/>
      <c r="AM28" s="104"/>
      <c r="AN28" s="102"/>
      <c r="AO28" s="103"/>
      <c r="AP28" s="103"/>
      <c r="AQ28" s="103"/>
      <c r="AR28" s="103"/>
      <c r="AS28" s="103"/>
      <c r="AT28" s="103"/>
      <c r="AU28" s="103"/>
      <c r="AV28" s="104"/>
      <c r="AW28" s="102"/>
      <c r="AX28" s="103"/>
      <c r="AY28" s="103"/>
      <c r="AZ28" s="103"/>
      <c r="BA28" s="103"/>
      <c r="BB28" s="103"/>
      <c r="BC28" s="103"/>
      <c r="BD28" s="103"/>
      <c r="BE28" s="104"/>
      <c r="BF28" s="102"/>
      <c r="BG28" s="103"/>
      <c r="BH28" s="103"/>
      <c r="BI28" s="103"/>
      <c r="BJ28" s="103"/>
      <c r="BK28" s="103"/>
      <c r="BL28" s="103"/>
      <c r="BM28" s="103"/>
      <c r="BN28" s="104"/>
    </row>
  </sheetData>
  <sheetProtection sheet="1" objects="1" scenarios="1" insertRows="0" selectLockedCells="1"/>
  <mergeCells count="19"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  <mergeCell ref="BF2:BN2"/>
    <mergeCell ref="D2:L2"/>
    <mergeCell ref="M2:U2"/>
    <mergeCell ref="V2:AD2"/>
    <mergeCell ref="AE2:AM2"/>
    <mergeCell ref="AN2:AV2"/>
    <mergeCell ref="AW2:BE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5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1" t="s">
        <v>21</v>
      </c>
      <c r="C3" s="30">
        <v>0</v>
      </c>
    </row>
    <row r="4" spans="1:4" ht="19.5" customHeight="1" x14ac:dyDescent="0.2">
      <c r="A4" s="34"/>
      <c r="B4" s="12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99"/>
  <sheetViews>
    <sheetView view="pageBreakPreview" zoomScale="85" zoomScaleNormal="100" zoomScaleSheetLayoutView="85"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3</v>
      </c>
      <c r="C3" s="13"/>
      <c r="D3" s="13"/>
    </row>
    <row r="4" spans="1:4" s="81" customFormat="1" ht="13.5" x14ac:dyDescent="0.2">
      <c r="A4" s="5" t="s">
        <v>28</v>
      </c>
      <c r="B4" s="6">
        <v>1</v>
      </c>
      <c r="C4" s="14"/>
      <c r="D4" s="14"/>
    </row>
    <row r="5" spans="1:4" s="81" customFormat="1" ht="13.5" x14ac:dyDescent="0.2">
      <c r="A5" s="5" t="s">
        <v>37</v>
      </c>
      <c r="B5" s="6">
        <v>3</v>
      </c>
      <c r="C5" s="14"/>
      <c r="D5" s="14"/>
    </row>
    <row r="6" spans="1:4" s="81" customFormat="1" ht="13.5" x14ac:dyDescent="0.2">
      <c r="A6" s="5" t="s">
        <v>33</v>
      </c>
      <c r="B6" s="6"/>
      <c r="C6" s="14"/>
      <c r="D6" s="14"/>
    </row>
    <row r="7" spans="1:4" s="81" customFormat="1" ht="13.5" x14ac:dyDescent="0.2">
      <c r="A7" s="5" t="s">
        <v>32</v>
      </c>
      <c r="B7" s="6">
        <v>2</v>
      </c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</v>
      </c>
      <c r="C13" s="107" t="s">
        <v>45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21</v>
      </c>
      <c r="B17" s="8">
        <v>3</v>
      </c>
      <c r="C17" s="13"/>
      <c r="D17" s="13"/>
    </row>
    <row r="18" spans="1:9" ht="13.5" x14ac:dyDescent="0.2">
      <c r="A18" s="5" t="s">
        <v>27</v>
      </c>
      <c r="B18" s="6">
        <v>1</v>
      </c>
      <c r="C18" s="14"/>
      <c r="D18" s="14"/>
    </row>
    <row r="19" spans="1:9" ht="13.5" x14ac:dyDescent="0.2">
      <c r="A19" s="5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4</v>
      </c>
      <c r="C27" s="107" t="s">
        <v>45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/>
      <c r="B31" s="8"/>
      <c r="C31" s="13"/>
      <c r="D31" s="13"/>
      <c r="E31" s="37"/>
      <c r="F31" s="63"/>
      <c r="G31" s="63"/>
      <c r="H31" s="63"/>
      <c r="I31" s="37"/>
    </row>
    <row r="32" spans="1:9" ht="13.5" x14ac:dyDescent="0.2">
      <c r="A32" s="5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5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0</v>
      </c>
      <c r="C41" s="107" t="s">
        <v>45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107" t="s">
        <v>45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107" t="s">
        <v>45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/>
      <c r="B73" s="8"/>
      <c r="C73" s="13"/>
      <c r="D73" s="13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0</v>
      </c>
      <c r="C83" s="107" t="s">
        <v>45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0</v>
      </c>
      <c r="C97" s="107" t="s">
        <v>45</v>
      </c>
      <c r="D97" s="17"/>
    </row>
    <row r="98" spans="1:4" ht="14.25" x14ac:dyDescent="0.3">
      <c r="A98" s="18"/>
      <c r="B98" s="18"/>
      <c r="C98" s="18"/>
      <c r="D98" s="18"/>
    </row>
    <row r="99" spans="1:4" x14ac:dyDescent="0.2">
      <c r="A99" s="106" t="s">
        <v>46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4"/>
  <sheetViews>
    <sheetView tabSelected="1" view="pageBreakPreview" topLeftCell="A10" zoomScaleNormal="100" zoomScaleSheetLayoutView="100" workbookViewId="0">
      <selection activeCell="C42" sqref="C42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3</v>
      </c>
      <c r="C3" s="13" t="s">
        <v>51</v>
      </c>
      <c r="D3" s="13"/>
    </row>
    <row r="4" spans="1:4" s="81" customFormat="1" ht="13.5" x14ac:dyDescent="0.2">
      <c r="A4" s="5" t="s">
        <v>28</v>
      </c>
      <c r="B4" s="6">
        <v>1</v>
      </c>
      <c r="C4" s="14" t="s">
        <v>52</v>
      </c>
      <c r="D4" s="14"/>
    </row>
    <row r="5" spans="1:4" s="81" customFormat="1" ht="27" x14ac:dyDescent="0.2">
      <c r="A5" s="5" t="s">
        <v>37</v>
      </c>
      <c r="B5" s="6">
        <v>3</v>
      </c>
      <c r="C5" s="14" t="s">
        <v>47</v>
      </c>
      <c r="D5" s="14"/>
    </row>
    <row r="6" spans="1:4" s="81" customFormat="1" ht="13.5" x14ac:dyDescent="0.2">
      <c r="A6" s="5" t="s">
        <v>31</v>
      </c>
      <c r="B6" s="6">
        <v>2</v>
      </c>
      <c r="C6" s="14" t="s">
        <v>54</v>
      </c>
      <c r="D6" s="113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5" t="s">
        <v>45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27</v>
      </c>
      <c r="B22" s="8">
        <v>1</v>
      </c>
      <c r="C22" s="13" t="s">
        <v>53</v>
      </c>
      <c r="D22" s="13"/>
    </row>
    <row r="23" spans="1:9" ht="27" x14ac:dyDescent="0.2">
      <c r="A23" s="5" t="s">
        <v>55</v>
      </c>
      <c r="B23" s="6">
        <v>2</v>
      </c>
      <c r="C23" s="14" t="s">
        <v>56</v>
      </c>
      <c r="D23" s="14"/>
    </row>
    <row r="24" spans="1:9" ht="27" x14ac:dyDescent="0.2">
      <c r="A24" s="5" t="s">
        <v>33</v>
      </c>
      <c r="B24" s="6">
        <v>5</v>
      </c>
      <c r="C24" s="14" t="s">
        <v>57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31</v>
      </c>
      <c r="B25" s="6">
        <v>1</v>
      </c>
      <c r="C25" s="14" t="s">
        <v>49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5" t="s">
        <v>45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 t="s">
        <v>53</v>
      </c>
      <c r="D41" s="13"/>
    </row>
    <row r="42" spans="1:9" ht="13.5" x14ac:dyDescent="0.2">
      <c r="A42" s="5" t="s">
        <v>55</v>
      </c>
      <c r="B42" s="6">
        <v>2</v>
      </c>
      <c r="C42" s="14" t="s">
        <v>59</v>
      </c>
      <c r="D42" s="14"/>
    </row>
    <row r="43" spans="1:9" ht="13.5" x14ac:dyDescent="0.2">
      <c r="A43" s="5" t="s">
        <v>33</v>
      </c>
      <c r="B43" s="6">
        <v>5</v>
      </c>
      <c r="C43" s="14" t="s">
        <v>58</v>
      </c>
      <c r="D43" s="14"/>
    </row>
    <row r="44" spans="1:9" ht="13.5" x14ac:dyDescent="0.2">
      <c r="A44" s="5" t="s">
        <v>31</v>
      </c>
      <c r="B44" s="6">
        <v>1</v>
      </c>
      <c r="C44" s="14" t="s">
        <v>49</v>
      </c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5" t="s">
        <v>45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05" t="s">
        <v>45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05" t="s">
        <v>45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5" t="s">
        <v>45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5" t="s">
        <v>45</v>
      </c>
      <c r="D132" s="77"/>
    </row>
    <row r="133" spans="1:4" ht="14.25" x14ac:dyDescent="0.3">
      <c r="A133" s="78"/>
      <c r="B133" s="78"/>
      <c r="C133" s="78"/>
      <c r="D133" s="78"/>
    </row>
    <row r="134" spans="1:4" x14ac:dyDescent="0.2">
      <c r="A134" s="106" t="s">
        <v>46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>
      <formula1>0</formula1>
      <formula2>NbPerWeek * NbQuartPer</formula2>
    </dataValidation>
    <dataValidation type="list" allowBlank="1" showInputMessage="1" showErrorMessage="1" sqref="A3:A17 A22:A36 A41:A55 A60:A74 A79:A93 A98:A112 A117:A13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2017-04-05T12:24:34Z</dcterms:modified>
  <cp:contentStatus>Version 8.0</cp:contentStatus>
</cp:coreProperties>
</file>