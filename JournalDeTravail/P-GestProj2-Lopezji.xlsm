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Applications\GitRepository\TestClone\github\col-go-lo\col-go-lo\JournalDeTravail\"/>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JNLTRAV!$A$1:$D$128</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27"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<sst xmlns="http://schemas.openxmlformats.org/spreadsheetml/2006/main" count="250" uniqueCount="81">
  <si>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</si>
  <si>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</si>
  <si>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</si>
  <si>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</si>
  <si>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</si>
  <si>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</si>
  <si>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</si>
  <si>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</si>
  <si>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</si>
  <si>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</si>
  <si>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</si>
  <si>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</si>
  <si>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</si>
  <si>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</si>
  <si>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</si>
  <si>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</si>
  <si>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</si>
  <si>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</si>
  <si>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</si>
  <si>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</si>
  <si>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</si>
  <si>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</si>
  <si>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</si>
  <si>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</si>
  <si>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</si>
  <si>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</si>
  <si>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</si>
  <si>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</si>
  <si>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</si>
  <si>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</si>
  <si>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</si>
  <si>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</si>
  <si>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</si>
  <si>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</si>
  <si>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</si>
  <si>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</si>
  <si>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</si>
  <si>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</si>
  <si>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</si>
  <si>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</si>
  <si>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</si>
  <si>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</si>
  <si>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</si>
  <si>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</si>
  <si>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</si>
  <si>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</si>
  <si>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</si>
  <si>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Création des users story sur trello avec séparation de couleurs pour différencier les groupes de tâches</t>
  </si>
  <si>
    <t>Implémentation de données</t>
  </si>
  <si>
    <t>Mise à jour du journal de travail</t>
  </si>
  <si>
    <t>Jimmy Lopez</t>
  </si>
  <si>
    <t>Explication du maitre de classe (GGZ) sur l'utilisation de trello</t>
  </si>
  <si>
    <t>Organisation premier Sprint</t>
  </si>
  <si>
    <t>Daily scrum</t>
  </si>
  <si>
    <t>Création du journal de travail + mise à jour du journal de travail</t>
  </si>
  <si>
    <t>Recherches</t>
  </si>
  <si>
    <t>Recherche d'un template. Recherche des icones disponibles pour créer la page modèle. Recherche du bout de code d'une partie désirée du template.</t>
  </si>
  <si>
    <t xml:space="preserve">Création du site en php. Page modèle créée grâce au template trouvé. (bootstrap) Modification de la page modèle (suppression des éléments inutiles). </t>
  </si>
  <si>
    <t>Fin du modèle + création de la page d'accueil.</t>
  </si>
  <si>
    <t>Test Burndown charts</t>
  </si>
  <si>
    <t>Début de page php de connexion + formulaire de connexion</t>
  </si>
  <si>
    <t>importation du PDOLink et création des classes pour le modèle</t>
  </si>
  <si>
    <t>Création de la page des membres (page qui liste les élèves et les enseignants) + page de detail (un bouton "détails" s'affiche à coté de chaque nom de membre qui redirige vers une autre page qui contient toutes les informations de la personne sélectionnée)</t>
  </si>
  <si>
    <t>https://trello.com/b/OE8jzYOp/pb-col-go-lo</t>
  </si>
  <si>
    <t>http://getbootstrap.com/components/</t>
  </si>
  <si>
    <t>Recherche sur le site de bootstrap pour prendre les élements importants comme les icones de la barre de navigation et boutons personnalisés</t>
  </si>
  <si>
    <t>Sprint retrospective avec le groupe</t>
  </si>
  <si>
    <t>Daily scrum avec le groupe</t>
  </si>
  <si>
    <t>Sprint review avec le groupe</t>
  </si>
  <si>
    <t>Max. 12</t>
  </si>
  <si>
    <t>Mise à jour du power point pour la présentation</t>
  </si>
  <si>
    <t>P_GestProj2_SITE\src\php\index.php</t>
  </si>
  <si>
    <t>Tout est perdu à cause d'une mauvaise manipulation de GitKraken de ma part. J'ai tout recommencé et le site en est au même point que la fois passée.</t>
  </si>
  <si>
    <t>P_GestProj2_SITE\src\php\PDOLink.php</t>
  </si>
  <si>
    <t>P_GestProj2_SITE\src\php\connection.php</t>
  </si>
  <si>
    <t>P_GestProj2_SITE\src\php\include\loginForm.php</t>
  </si>
  <si>
    <t>P_GestProj2_SITE\src\php\members.php</t>
  </si>
  <si>
    <t>P_GestProj2_SITE\src\php\detail.php</t>
  </si>
  <si>
    <t>P_GestProj2_SITE\src\php\Profile.php</t>
  </si>
  <si>
    <t>complétion de la page profile.php qui affiche la page de profile de l'utilisateur connecté. Si aucun utilisateur est connecté, la page invite le client a se connecter ou s'inscrire.</t>
  </si>
  <si>
    <t>Résolution d'un problème au niveau du mot de passe qui ne s'enregistrait pas correctement lors du hachage. Affichage d'un onglet "Mon compte" quand l'utilisateur est connecté. Cette page affiche un titre contenant le login de l'utilisateur connecté.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</si>
</sst>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P_GestProj2_SITE\src\php\include\loginForm.php" TargetMode="External"/><Relationship Id="rId13" Type="http://schemas.openxmlformats.org/officeDocument/2006/relationships/printerSettings" Target="../printerSettings/printerSettings5.bin"/><Relationship Id="rId3" Type="http://schemas.openxmlformats.org/officeDocument/2006/relationships/hyperlink" Target="http://getbootstrap.com/components/" TargetMode="External"/><Relationship Id="rId7" Type="http://schemas.openxmlformats.org/officeDocument/2006/relationships/hyperlink" Target="P_GestProj2_SITE\src\php\connection.php" TargetMode="External"/><Relationship Id="rId12" Type="http://schemas.openxmlformats.org/officeDocument/2006/relationships/hyperlink" Target="P_GestProj2_SITE\src\php\Profile.php" TargetMode="External"/><Relationship Id="rId17" Type="http://schemas.openxmlformats.org/officeDocument/2006/relationships/image" Target="../media/image7.emf"/><Relationship Id="rId2" Type="http://schemas.openxmlformats.org/officeDocument/2006/relationships/hyperlink" Target="http://getbootstrap.com/components/" TargetMode="External"/><Relationship Id="rId16" Type="http://schemas.openxmlformats.org/officeDocument/2006/relationships/control" Target="../activeX/activeX7.xml"/><Relationship Id="rId1" Type="http://schemas.openxmlformats.org/officeDocument/2006/relationships/hyperlink" Target="https://trello.com/b/OE8jzYOp/pb-col-go-lo" TargetMode="External"/><Relationship Id="rId6" Type="http://schemas.openxmlformats.org/officeDocument/2006/relationships/hyperlink" Target="P_GestProj2_SITE\src\php\index.php" TargetMode="External"/><Relationship Id="rId11" Type="http://schemas.openxmlformats.org/officeDocument/2006/relationships/hyperlink" Target="P_GestProj2_SITE\src\php\Profile.php" TargetMode="External"/><Relationship Id="rId5" Type="http://schemas.openxmlformats.org/officeDocument/2006/relationships/hyperlink" Target="P_GestProj2_SITE\src\php\PDOLink.php" TargetMode="External"/><Relationship Id="rId15" Type="http://schemas.openxmlformats.org/officeDocument/2006/relationships/vmlDrawing" Target="../drawings/vmlDrawing5.vml"/><Relationship Id="rId10" Type="http://schemas.openxmlformats.org/officeDocument/2006/relationships/hyperlink" Target="P_GestProj2_SITE\src\php\detail.php" TargetMode="External"/><Relationship Id="rId4" Type="http://schemas.openxmlformats.org/officeDocument/2006/relationships/hyperlink" Target="P_GestProj2_SITE\src\php\index.php" TargetMode="External"/><Relationship Id="rId9" Type="http://schemas.openxmlformats.org/officeDocument/2006/relationships/hyperlink" Target="P_GestProj2_SITE\src\php\members.php" TargetMode="External"/><Relationship Id="rId1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33" sqref="C33"/>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50</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48</v>
      </c>
      <c r="D31" s="37"/>
      <c r="E31" s="37"/>
      <c r="F31" s="37"/>
      <c r="G31" s="34"/>
      <c r="H31" s="1"/>
      <c r="I31" s="1"/>
      <c r="J31" s="1"/>
      <c r="K31" s="1"/>
      <c r="L31" s="1"/>
      <c r="M31" s="1"/>
    </row>
    <row r="32" spans="1:13" ht="19.5" x14ac:dyDescent="0.2">
      <c r="A32" s="52"/>
      <c r="B32" s="67">
        <v>12</v>
      </c>
      <c r="C32" s="28" t="s">
        <v>37</v>
      </c>
      <c r="D32" s="37"/>
      <c r="E32" s="37"/>
      <c r="F32" s="37"/>
      <c r="G32" s="34"/>
      <c r="H32" s="1"/>
      <c r="I32" s="1"/>
      <c r="J32" s="1"/>
      <c r="K32" s="1"/>
      <c r="L32" s="1"/>
      <c r="M32" s="1"/>
    </row>
    <row r="33" spans="1:13" ht="19.5" x14ac:dyDescent="0.2">
      <c r="A33" s="52"/>
      <c r="B33" s="66">
        <v>13</v>
      </c>
      <c r="C33" s="28" t="s">
        <v>55</v>
      </c>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0" t="s">
        <v>38</v>
      </c>
      <c r="E2" s="121"/>
      <c r="F2" s="121"/>
      <c r="G2" s="121"/>
      <c r="H2" s="121"/>
      <c r="I2" s="121"/>
      <c r="J2" s="121"/>
      <c r="K2" s="121"/>
      <c r="L2" s="122"/>
      <c r="M2" s="120" t="s">
        <v>39</v>
      </c>
      <c r="N2" s="121"/>
      <c r="O2" s="121"/>
      <c r="P2" s="121"/>
      <c r="Q2" s="121"/>
      <c r="R2" s="121"/>
      <c r="S2" s="121"/>
      <c r="T2" s="121"/>
      <c r="U2" s="122"/>
      <c r="V2" s="120" t="s">
        <v>40</v>
      </c>
      <c r="W2" s="121"/>
      <c r="X2" s="121"/>
      <c r="Y2" s="121"/>
      <c r="Z2" s="121"/>
      <c r="AA2" s="121"/>
      <c r="AB2" s="121"/>
      <c r="AC2" s="121"/>
      <c r="AD2" s="122"/>
      <c r="AE2" s="120" t="s">
        <v>41</v>
      </c>
      <c r="AF2" s="121"/>
      <c r="AG2" s="121"/>
      <c r="AH2" s="121"/>
      <c r="AI2" s="121"/>
      <c r="AJ2" s="121"/>
      <c r="AK2" s="121"/>
      <c r="AL2" s="121"/>
      <c r="AM2" s="122"/>
      <c r="AN2" s="120" t="s">
        <v>42</v>
      </c>
      <c r="AO2" s="121"/>
      <c r="AP2" s="121"/>
      <c r="AQ2" s="121"/>
      <c r="AR2" s="121"/>
      <c r="AS2" s="121"/>
      <c r="AT2" s="121"/>
      <c r="AU2" s="121"/>
      <c r="AV2" s="122"/>
      <c r="AW2" s="120" t="s">
        <v>43</v>
      </c>
      <c r="AX2" s="121"/>
      <c r="AY2" s="121"/>
      <c r="AZ2" s="121"/>
      <c r="BA2" s="121"/>
      <c r="BB2" s="121"/>
      <c r="BC2" s="121"/>
      <c r="BD2" s="121"/>
      <c r="BE2" s="122"/>
      <c r="BF2" s="120" t="s">
        <v>44</v>
      </c>
      <c r="BG2" s="121"/>
      <c r="BH2" s="121"/>
      <c r="BI2" s="121"/>
      <c r="BJ2" s="121"/>
      <c r="BK2" s="121"/>
      <c r="BL2" s="121"/>
      <c r="BM2" s="121"/>
      <c r="BN2" s="122"/>
    </row>
    <row r="3" spans="1:66" ht="19.5" customHeight="1" x14ac:dyDescent="0.2">
      <c r="A3" s="85"/>
      <c r="B3" s="125" t="s">
        <v>21</v>
      </c>
      <c r="C3" s="30">
        <v>6</v>
      </c>
      <c r="D3" s="108"/>
      <c r="E3" s="109"/>
      <c r="F3" s="110"/>
      <c r="G3" s="89"/>
      <c r="H3" s="87"/>
      <c r="I3" s="88"/>
      <c r="J3" s="111"/>
      <c r="K3" s="109"/>
      <c r="L3" s="112"/>
      <c r="M3" s="86"/>
      <c r="N3" s="87"/>
      <c r="O3" s="88"/>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6"/>
      <c r="C4" s="44">
        <v>0</v>
      </c>
      <c r="D4" s="91"/>
      <c r="E4" s="92"/>
      <c r="F4" s="93"/>
      <c r="G4" s="94"/>
      <c r="H4" s="92"/>
      <c r="I4" s="93"/>
      <c r="J4" s="94"/>
      <c r="K4" s="92"/>
      <c r="L4" s="95"/>
      <c r="M4" s="91"/>
      <c r="N4" s="92"/>
      <c r="O4" s="93"/>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7" t="str">
        <f>Donnees!$C$21</f>
        <v>Sprint planning</v>
      </c>
      <c r="C5" s="96">
        <v>1</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86"/>
      <c r="AF5" s="87"/>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24"/>
      <c r="C6" s="97">
        <v>0</v>
      </c>
      <c r="D6" s="91"/>
      <c r="E6" s="92"/>
      <c r="F6" s="93"/>
      <c r="G6" s="94"/>
      <c r="H6" s="92"/>
      <c r="I6" s="93"/>
      <c r="J6" s="94"/>
      <c r="K6" s="92"/>
      <c r="L6" s="95"/>
      <c r="M6" s="91"/>
      <c r="N6" s="92"/>
      <c r="O6" s="93"/>
      <c r="P6" s="94"/>
      <c r="Q6" s="92"/>
      <c r="R6" s="93"/>
      <c r="S6" s="94"/>
      <c r="T6" s="92"/>
      <c r="U6" s="95"/>
      <c r="V6" s="91"/>
      <c r="W6" s="92"/>
      <c r="X6" s="93"/>
      <c r="Y6" s="94"/>
      <c r="Z6" s="92"/>
      <c r="AA6" s="93"/>
      <c r="AB6" s="94"/>
      <c r="AC6" s="92"/>
      <c r="AD6" s="95"/>
      <c r="AE6" s="91"/>
      <c r="AF6" s="92"/>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3" t="str">
        <f>Donnees!$C$22</f>
        <v>Daily Scrum</v>
      </c>
      <c r="C7" s="96">
        <v>1</v>
      </c>
      <c r="D7" s="86"/>
      <c r="E7" s="87"/>
      <c r="F7" s="88"/>
      <c r="G7" s="89"/>
      <c r="H7" s="87"/>
      <c r="I7" s="88"/>
      <c r="J7" s="89"/>
      <c r="K7" s="87"/>
      <c r="L7" s="90"/>
      <c r="M7" s="108"/>
      <c r="N7" s="87"/>
      <c r="O7" s="88"/>
      <c r="P7" s="89"/>
      <c r="Q7" s="87"/>
      <c r="R7" s="88"/>
      <c r="S7" s="89"/>
      <c r="T7" s="87"/>
      <c r="U7" s="90"/>
      <c r="V7" s="86"/>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4"/>
      <c r="C8" s="97">
        <v>0</v>
      </c>
      <c r="D8" s="91"/>
      <c r="E8" s="92"/>
      <c r="F8" s="93"/>
      <c r="G8" s="94"/>
      <c r="H8" s="92"/>
      <c r="I8" s="93"/>
      <c r="J8" s="94"/>
      <c r="K8" s="92"/>
      <c r="L8" s="95"/>
      <c r="M8" s="91"/>
      <c r="N8" s="92"/>
      <c r="O8" s="93"/>
      <c r="P8" s="94"/>
      <c r="Q8" s="92"/>
      <c r="R8" s="93"/>
      <c r="S8" s="94"/>
      <c r="T8" s="92"/>
      <c r="U8" s="95"/>
      <c r="V8" s="91"/>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3" t="str">
        <f>Donnees!$C$23</f>
        <v>Sprint Review</v>
      </c>
      <c r="C9" s="96">
        <v>0</v>
      </c>
      <c r="D9" s="86"/>
      <c r="E9" s="87"/>
      <c r="F9" s="88"/>
      <c r="G9" s="89"/>
      <c r="H9" s="87"/>
      <c r="I9" s="88"/>
      <c r="J9" s="89"/>
      <c r="K9" s="87"/>
      <c r="L9" s="90"/>
      <c r="M9" s="86"/>
      <c r="N9" s="87"/>
      <c r="O9" s="88"/>
      <c r="P9" s="89"/>
      <c r="Q9" s="87"/>
      <c r="R9" s="88"/>
      <c r="S9" s="89"/>
      <c r="T9" s="87"/>
      <c r="U9" s="90"/>
      <c r="V9" s="86"/>
      <c r="W9" s="87"/>
      <c r="X9" s="88"/>
      <c r="Y9" s="89"/>
      <c r="Z9" s="87"/>
      <c r="AA9" s="88"/>
      <c r="AB9" s="89"/>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4"/>
      <c r="C10" s="97">
        <v>0</v>
      </c>
      <c r="D10" s="91"/>
      <c r="E10" s="92"/>
      <c r="F10" s="93"/>
      <c r="G10" s="94"/>
      <c r="H10" s="92"/>
      <c r="I10" s="93"/>
      <c r="J10" s="94"/>
      <c r="K10" s="92"/>
      <c r="L10" s="95"/>
      <c r="M10" s="91"/>
      <c r="N10" s="92"/>
      <c r="O10" s="93"/>
      <c r="P10" s="94"/>
      <c r="Q10" s="92"/>
      <c r="R10" s="93"/>
      <c r="S10" s="94"/>
      <c r="T10" s="92"/>
      <c r="U10" s="95"/>
      <c r="V10" s="91"/>
      <c r="W10" s="92"/>
      <c r="X10" s="93"/>
      <c r="Y10" s="94"/>
      <c r="Z10" s="92"/>
      <c r="AA10" s="93"/>
      <c r="AB10" s="94"/>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3" t="str">
        <f>Donnees!$C$24</f>
        <v>Sprint retrospective</v>
      </c>
      <c r="C11" s="96">
        <v>0</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87"/>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4"/>
      <c r="C12" s="97">
        <v>0</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92"/>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3" t="str">
        <f>Donnees!$C$25</f>
        <v>Journal de travail</v>
      </c>
      <c r="C13" s="96">
        <v>0</v>
      </c>
      <c r="D13" s="86"/>
      <c r="E13" s="87"/>
      <c r="F13" s="88"/>
      <c r="G13" s="89"/>
      <c r="H13" s="87"/>
      <c r="I13" s="88"/>
      <c r="J13" s="89"/>
      <c r="K13" s="87"/>
      <c r="L13" s="90"/>
      <c r="M13" s="86"/>
      <c r="N13" s="87"/>
      <c r="O13" s="88"/>
      <c r="P13" s="89"/>
      <c r="Q13" s="87"/>
      <c r="R13" s="88"/>
      <c r="S13" s="89"/>
      <c r="T13" s="87"/>
      <c r="U13" s="90"/>
      <c r="V13" s="86"/>
      <c r="W13" s="87"/>
      <c r="X13" s="88"/>
      <c r="Y13" s="89"/>
      <c r="Z13" s="87"/>
      <c r="AA13" s="88"/>
      <c r="AB13" s="89"/>
      <c r="AC13" s="87"/>
      <c r="AD13" s="90"/>
      <c r="AE13" s="86"/>
      <c r="AF13" s="87"/>
      <c r="AG13" s="88"/>
      <c r="AH13" s="89"/>
      <c r="AI13" s="87"/>
      <c r="AJ13" s="88"/>
      <c r="AK13" s="89"/>
      <c r="AL13" s="87"/>
      <c r="AM13" s="90"/>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24"/>
      <c r="C14" s="97">
        <v>0</v>
      </c>
      <c r="D14" s="91"/>
      <c r="E14" s="92"/>
      <c r="F14" s="93"/>
      <c r="G14" s="94"/>
      <c r="H14" s="92"/>
      <c r="I14" s="93"/>
      <c r="J14" s="94"/>
      <c r="K14" s="92"/>
      <c r="L14" s="95"/>
      <c r="M14" s="91"/>
      <c r="N14" s="92"/>
      <c r="O14" s="93"/>
      <c r="P14" s="94"/>
      <c r="Q14" s="92"/>
      <c r="R14" s="93"/>
      <c r="S14" s="94"/>
      <c r="T14" s="92"/>
      <c r="U14" s="95"/>
      <c r="V14" s="91"/>
      <c r="W14" s="92"/>
      <c r="X14" s="93"/>
      <c r="Y14" s="94"/>
      <c r="Z14" s="92"/>
      <c r="AA14" s="93"/>
      <c r="AB14" s="94"/>
      <c r="AC14" s="92"/>
      <c r="AD14" s="95"/>
      <c r="AE14" s="91"/>
      <c r="AF14" s="92"/>
      <c r="AG14" s="93"/>
      <c r="AH14" s="94"/>
      <c r="AI14" s="92"/>
      <c r="AJ14" s="93"/>
      <c r="AK14" s="94"/>
      <c r="AL14" s="92"/>
      <c r="AM14" s="95"/>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3" t="str">
        <f>Donnees!$C$26</f>
        <v>MCD/MLD</v>
      </c>
      <c r="C15" s="96">
        <v>2</v>
      </c>
      <c r="D15" s="86"/>
      <c r="E15" s="87"/>
      <c r="F15" s="88"/>
      <c r="G15" s="89"/>
      <c r="H15" s="109"/>
      <c r="I15" s="110"/>
      <c r="J15" s="89"/>
      <c r="K15" s="87"/>
      <c r="L15" s="90"/>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4"/>
      <c r="C16" s="97">
        <v>0</v>
      </c>
      <c r="D16" s="91"/>
      <c r="E16" s="92"/>
      <c r="F16" s="93"/>
      <c r="G16" s="94"/>
      <c r="H16" s="92"/>
      <c r="I16" s="93"/>
      <c r="J16" s="94"/>
      <c r="K16" s="92"/>
      <c r="L16" s="95"/>
      <c r="M16" s="91"/>
      <c r="N16" s="92"/>
      <c r="O16" s="93"/>
      <c r="P16" s="94"/>
      <c r="Q16" s="92"/>
      <c r="R16" s="93"/>
      <c r="S16" s="94"/>
      <c r="T16" s="92"/>
      <c r="U16" s="95"/>
      <c r="V16" s="91"/>
      <c r="W16" s="92"/>
      <c r="X16" s="93"/>
      <c r="Y16" s="94"/>
      <c r="Z16" s="92"/>
      <c r="AA16" s="93"/>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3" t="str">
        <f>Donnees!$C$27</f>
        <v>Site</v>
      </c>
      <c r="C17" s="96">
        <v>0</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88"/>
      <c r="AH17" s="89"/>
      <c r="AI17" s="87"/>
      <c r="AJ17" s="88"/>
      <c r="AK17" s="89"/>
      <c r="AL17" s="87"/>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4"/>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3"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24"/>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3"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4"/>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3"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4"/>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3" t="str">
        <f>Donnees!$C$31</f>
        <v>Implémentation de données</v>
      </c>
      <c r="C25" s="96">
        <v>0</v>
      </c>
      <c r="D25" s="86"/>
      <c r="E25" s="87"/>
      <c r="F25" s="88"/>
      <c r="G25" s="89"/>
      <c r="H25" s="87"/>
      <c r="I25" s="88"/>
      <c r="J25" s="89"/>
      <c r="K25" s="87"/>
      <c r="L25" s="90"/>
      <c r="M25" s="86"/>
      <c r="N25" s="87"/>
      <c r="O25" s="88"/>
      <c r="P25" s="89"/>
      <c r="Q25" s="87"/>
      <c r="R25" s="88"/>
      <c r="S25" s="89"/>
      <c r="T25" s="87"/>
      <c r="U25" s="90"/>
      <c r="V25" s="86"/>
      <c r="W25" s="87"/>
      <c r="X25" s="88"/>
      <c r="Y25" s="89"/>
      <c r="Z25" s="87"/>
      <c r="AA25" s="88"/>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4"/>
      <c r="C26" s="97">
        <v>0</v>
      </c>
      <c r="D26" s="91"/>
      <c r="E26" s="92"/>
      <c r="F26" s="93"/>
      <c r="G26" s="94"/>
      <c r="H26" s="92"/>
      <c r="I26" s="93"/>
      <c r="J26" s="94"/>
      <c r="K26" s="92"/>
      <c r="L26" s="95"/>
      <c r="M26" s="91"/>
      <c r="N26" s="92"/>
      <c r="O26" s="93"/>
      <c r="P26" s="94"/>
      <c r="Q26" s="92"/>
      <c r="R26" s="93"/>
      <c r="S26" s="94"/>
      <c r="T26" s="92"/>
      <c r="U26" s="95"/>
      <c r="V26" s="91"/>
      <c r="W26" s="92"/>
      <c r="X26" s="93"/>
      <c r="Y26" s="94"/>
      <c r="Z26" s="92"/>
      <c r="AA26" s="93"/>
      <c r="AB26" s="94"/>
      <c r="AC26" s="92"/>
      <c r="AD26" s="95"/>
      <c r="AE26" s="91"/>
      <c r="AF26" s="92"/>
      <c r="AG26" s="93"/>
      <c r="AH26" s="94"/>
      <c r="AI26" s="92"/>
      <c r="AJ26" s="93"/>
      <c r="AK26" s="94"/>
      <c r="AL26" s="92"/>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10</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0</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25:B26"/>
    <mergeCell ref="B3:B4"/>
    <mergeCell ref="B5:B6"/>
    <mergeCell ref="B7:B8"/>
    <mergeCell ref="B9:B10"/>
    <mergeCell ref="B11:B12"/>
    <mergeCell ref="B13:B14"/>
    <mergeCell ref="B15:B16"/>
    <mergeCell ref="B17:B18"/>
    <mergeCell ref="B19:B20"/>
    <mergeCell ref="B21:B22"/>
    <mergeCell ref="B23:B24"/>
    <mergeCell ref="BF2:BN2"/>
    <mergeCell ref="D2:L2"/>
    <mergeCell ref="M2:U2"/>
    <mergeCell ref="V2:AD2"/>
    <mergeCell ref="AE2:AM2"/>
    <mergeCell ref="AN2:AV2"/>
    <mergeCell ref="AW2:BE2"/>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5"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c r="B19" s="6"/>
      <c r="C19" s="14"/>
      <c r="D19" s="14"/>
      <c r="E19" s="37"/>
      <c r="F19" s="37"/>
      <c r="G19" s="37"/>
      <c r="H19" s="37"/>
      <c r="I19" s="37"/>
    </row>
    <row r="20" spans="1:9" ht="12.75" customHeight="1" x14ac:dyDescent="0.2">
      <c r="A20" s="5"/>
      <c r="B20" s="6"/>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4</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c r="B31" s="8"/>
      <c r="C31" s="13"/>
      <c r="D31" s="13"/>
      <c r="E31" s="37"/>
      <c r="F31" s="63"/>
      <c r="G31" s="63"/>
      <c r="H31" s="63"/>
      <c r="I31" s="37"/>
    </row>
    <row r="32" spans="1:9" ht="13.5" x14ac:dyDescent="0.2">
      <c r="A32" s="5"/>
      <c r="B32" s="6"/>
      <c r="C32" s="14"/>
      <c r="D32" s="14"/>
      <c r="E32" s="37"/>
      <c r="F32" s="37"/>
      <c r="G32" s="37"/>
      <c r="H32" s="37"/>
      <c r="I32" s="37"/>
    </row>
    <row r="33" spans="1:9" ht="13.5" x14ac:dyDescent="0.2">
      <c r="A33" s="5"/>
      <c r="B33" s="6"/>
      <c r="C33" s="14"/>
      <c r="D33" s="14"/>
      <c r="E33" s="37"/>
      <c r="F33" s="37"/>
      <c r="G33" s="37"/>
      <c r="H33" s="37"/>
      <c r="I33" s="37"/>
    </row>
    <row r="34" spans="1:9" ht="13.5" x14ac:dyDescent="0.2">
      <c r="A34" s="5"/>
      <c r="B34" s="6"/>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0</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c r="B45" s="8"/>
      <c r="C45" s="13"/>
      <c r="D45" s="13"/>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0</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9"/>
  <sheetViews>
    <sheetView tabSelected="1" view="pageBreakPreview" topLeftCell="A94" zoomScaleNormal="100" zoomScaleSheetLayoutView="100" workbookViewId="0">
      <selection activeCell="D125" sqref="D125"/>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51</v>
      </c>
      <c r="D3" s="13"/>
    </row>
    <row r="4" spans="1:4" s="81" customFormat="1" ht="13.5" x14ac:dyDescent="0.2">
      <c r="A4" s="5" t="s">
        <v>28</v>
      </c>
      <c r="B4" s="6">
        <v>1</v>
      </c>
      <c r="C4" s="14" t="s">
        <v>52</v>
      </c>
      <c r="D4" s="14"/>
    </row>
    <row r="5" spans="1:4" s="81" customFormat="1" ht="27" x14ac:dyDescent="0.2">
      <c r="A5" s="5" t="s">
        <v>37</v>
      </c>
      <c r="B5" s="6">
        <v>3</v>
      </c>
      <c r="C5" s="14" t="s">
        <v>47</v>
      </c>
      <c r="D5" s="113" t="s">
        <v>63</v>
      </c>
    </row>
    <row r="6" spans="1:4" s="81" customFormat="1" ht="13.5" x14ac:dyDescent="0.2">
      <c r="A6" s="5" t="s">
        <v>31</v>
      </c>
      <c r="B6" s="6">
        <v>2</v>
      </c>
      <c r="C6" s="14" t="s">
        <v>54</v>
      </c>
      <c r="D6" s="113"/>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27</v>
      </c>
      <c r="B22" s="8">
        <v>1</v>
      </c>
      <c r="C22" s="13" t="s">
        <v>53</v>
      </c>
      <c r="D22" s="13"/>
    </row>
    <row r="23" spans="1:9" ht="27" x14ac:dyDescent="0.2">
      <c r="A23" s="5" t="s">
        <v>55</v>
      </c>
      <c r="B23" s="6">
        <v>2</v>
      </c>
      <c r="C23" s="14" t="s">
        <v>56</v>
      </c>
      <c r="D23" s="113" t="s">
        <v>64</v>
      </c>
    </row>
    <row r="24" spans="1:9" ht="27" x14ac:dyDescent="0.2">
      <c r="A24" s="5" t="s">
        <v>33</v>
      </c>
      <c r="B24" s="6">
        <v>5</v>
      </c>
      <c r="C24" s="14" t="s">
        <v>57</v>
      </c>
      <c r="D24" s="113" t="s">
        <v>71</v>
      </c>
      <c r="E24" s="37"/>
      <c r="F24" s="37"/>
      <c r="G24" s="37"/>
      <c r="H24" s="37"/>
      <c r="I24" s="37"/>
    </row>
    <row r="25" spans="1:9" ht="12.75" customHeight="1" x14ac:dyDescent="0.2">
      <c r="A25" s="5" t="s">
        <v>31</v>
      </c>
      <c r="B25" s="6">
        <v>1</v>
      </c>
      <c r="C25" s="14" t="s">
        <v>49</v>
      </c>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13.5" x14ac:dyDescent="0.2">
      <c r="A41" s="9" t="s">
        <v>27</v>
      </c>
      <c r="B41" s="8">
        <v>1</v>
      </c>
      <c r="C41" s="13" t="s">
        <v>53</v>
      </c>
      <c r="D41" s="13"/>
    </row>
    <row r="42" spans="1:9" ht="27" x14ac:dyDescent="0.2">
      <c r="A42" s="5" t="s">
        <v>33</v>
      </c>
      <c r="B42" s="6">
        <v>4</v>
      </c>
      <c r="C42" s="14" t="s">
        <v>72</v>
      </c>
      <c r="D42" s="14"/>
    </row>
    <row r="43" spans="1:9" ht="13.5" x14ac:dyDescent="0.2">
      <c r="A43" s="5" t="s">
        <v>35</v>
      </c>
      <c r="B43" s="6">
        <v>3</v>
      </c>
      <c r="C43" s="14" t="s">
        <v>61</v>
      </c>
      <c r="D43" s="113" t="s">
        <v>73</v>
      </c>
    </row>
    <row r="44" spans="1:9" ht="13.5" x14ac:dyDescent="0.2">
      <c r="A44" s="5" t="s">
        <v>31</v>
      </c>
      <c r="B44" s="6">
        <v>1</v>
      </c>
      <c r="C44" s="14" t="s">
        <v>49</v>
      </c>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13.5" x14ac:dyDescent="0.2">
      <c r="A60" s="9" t="s">
        <v>21</v>
      </c>
      <c r="B60" s="8">
        <v>3</v>
      </c>
      <c r="C60" s="13" t="s">
        <v>53</v>
      </c>
      <c r="D60" s="13"/>
    </row>
    <row r="61" spans="1:4" ht="27" x14ac:dyDescent="0.2">
      <c r="A61" s="5" t="s">
        <v>27</v>
      </c>
      <c r="B61" s="6">
        <v>1</v>
      </c>
      <c r="C61" s="14" t="s">
        <v>65</v>
      </c>
      <c r="D61" s="113" t="s">
        <v>64</v>
      </c>
    </row>
    <row r="62" spans="1:4" ht="13.5" x14ac:dyDescent="0.2">
      <c r="A62" s="5" t="s">
        <v>35</v>
      </c>
      <c r="B62" s="6">
        <v>4</v>
      </c>
      <c r="C62" s="14" t="s">
        <v>58</v>
      </c>
      <c r="D62" s="113" t="s">
        <v>71</v>
      </c>
    </row>
    <row r="63" spans="1:4" ht="13.5" x14ac:dyDescent="0.2">
      <c r="A63" s="5" t="s">
        <v>31</v>
      </c>
      <c r="B63" s="6">
        <v>1</v>
      </c>
      <c r="C63" s="14" t="s">
        <v>49</v>
      </c>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t="s">
        <v>21</v>
      </c>
      <c r="B79" s="8">
        <v>6</v>
      </c>
      <c r="C79" s="13" t="s">
        <v>59</v>
      </c>
      <c r="D79" s="13"/>
    </row>
    <row r="80" spans="1:4" ht="13.5" x14ac:dyDescent="0.2">
      <c r="A80" s="5" t="s">
        <v>27</v>
      </c>
      <c r="B80" s="6">
        <v>1</v>
      </c>
      <c r="C80" s="14" t="s">
        <v>53</v>
      </c>
      <c r="D80" s="14"/>
    </row>
    <row r="81" spans="1:4" ht="13.5" x14ac:dyDescent="0.2">
      <c r="A81" s="5" t="s">
        <v>35</v>
      </c>
      <c r="B81" s="6">
        <v>1</v>
      </c>
      <c r="C81" s="14" t="s">
        <v>60</v>
      </c>
      <c r="D81" s="113" t="s">
        <v>74</v>
      </c>
    </row>
    <row r="82" spans="1:4" ht="13.5" x14ac:dyDescent="0.2">
      <c r="A82" s="5"/>
      <c r="B82" s="6"/>
      <c r="C82" s="14"/>
      <c r="D82" s="113" t="s">
        <v>75</v>
      </c>
    </row>
    <row r="83" spans="1:4" ht="13.5" x14ac:dyDescent="0.2">
      <c r="A83" s="5" t="s">
        <v>31</v>
      </c>
      <c r="B83" s="6">
        <v>1</v>
      </c>
      <c r="C83" s="14" t="s">
        <v>49</v>
      </c>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9</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13.5" x14ac:dyDescent="0.2">
      <c r="A98" s="9" t="s">
        <v>27</v>
      </c>
      <c r="B98" s="8">
        <v>1</v>
      </c>
      <c r="C98" s="13" t="s">
        <v>27</v>
      </c>
      <c r="D98" s="13"/>
    </row>
    <row r="99" spans="1:4" ht="40.5" x14ac:dyDescent="0.2">
      <c r="A99" s="5" t="s">
        <v>35</v>
      </c>
      <c r="B99" s="6">
        <v>7</v>
      </c>
      <c r="C99" s="14" t="s">
        <v>62</v>
      </c>
      <c r="D99" s="113" t="s">
        <v>76</v>
      </c>
    </row>
    <row r="100" spans="1:4" ht="13.5" x14ac:dyDescent="0.2">
      <c r="A100" s="5"/>
      <c r="B100" s="6"/>
      <c r="C100" s="14"/>
      <c r="D100" s="113" t="s">
        <v>77</v>
      </c>
    </row>
    <row r="101" spans="1:4" ht="13.5" x14ac:dyDescent="0.2">
      <c r="A101" s="5" t="s">
        <v>31</v>
      </c>
      <c r="B101" s="6">
        <v>1</v>
      </c>
      <c r="C101" s="14" t="s">
        <v>49</v>
      </c>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t="s">
        <v>27</v>
      </c>
      <c r="B117" s="8">
        <v>1</v>
      </c>
      <c r="C117" s="13" t="s">
        <v>67</v>
      </c>
      <c r="D117" s="13"/>
    </row>
    <row r="118" spans="1:4" ht="40.5" x14ac:dyDescent="0.2">
      <c r="A118" s="114" t="s">
        <v>35</v>
      </c>
      <c r="B118" s="115">
        <v>10</v>
      </c>
      <c r="C118" s="116" t="s">
        <v>80</v>
      </c>
      <c r="D118" s="117" t="s">
        <v>78</v>
      </c>
    </row>
    <row r="119" spans="1:4" ht="13.5" x14ac:dyDescent="0.2">
      <c r="A119" s="114" t="s">
        <v>31</v>
      </c>
      <c r="B119" s="115">
        <v>1</v>
      </c>
      <c r="C119" s="116" t="s">
        <v>49</v>
      </c>
      <c r="D119" s="116"/>
    </row>
    <row r="120" spans="1:4" ht="13.5" x14ac:dyDescent="0.2">
      <c r="A120" s="114"/>
      <c r="B120" s="115"/>
      <c r="C120" s="116"/>
      <c r="D120" s="116"/>
    </row>
    <row r="121" spans="1:4" ht="13.5" x14ac:dyDescent="0.2">
      <c r="A121" s="114" t="s">
        <v>27</v>
      </c>
      <c r="B121" s="115"/>
      <c r="C121" s="116" t="s">
        <v>67</v>
      </c>
      <c r="D121" s="116"/>
    </row>
    <row r="122" spans="1:4" ht="27" x14ac:dyDescent="0.2">
      <c r="A122" s="5" t="s">
        <v>35</v>
      </c>
      <c r="B122" s="6"/>
      <c r="C122" s="14" t="s">
        <v>79</v>
      </c>
      <c r="D122" s="113" t="s">
        <v>78</v>
      </c>
    </row>
    <row r="123" spans="1:4" ht="13.5" x14ac:dyDescent="0.2">
      <c r="A123" s="5" t="s">
        <v>30</v>
      </c>
      <c r="B123" s="6"/>
      <c r="C123" s="14" t="s">
        <v>66</v>
      </c>
      <c r="D123" s="14"/>
    </row>
    <row r="124" spans="1:4" ht="13.5" x14ac:dyDescent="0.2">
      <c r="A124" s="5" t="s">
        <v>29</v>
      </c>
      <c r="B124" s="6"/>
      <c r="C124" s="14" t="s">
        <v>68</v>
      </c>
      <c r="D124" s="14"/>
    </row>
    <row r="125" spans="1:4" ht="13.5" x14ac:dyDescent="0.2">
      <c r="A125" s="5" t="s">
        <v>37</v>
      </c>
      <c r="B125" s="6"/>
      <c r="C125" s="14" t="s">
        <v>70</v>
      </c>
      <c r="D125" s="14"/>
    </row>
    <row r="126" spans="1:4" ht="14.25" thickBot="1" x14ac:dyDescent="0.25">
      <c r="A126" s="5" t="s">
        <v>31</v>
      </c>
      <c r="B126" s="6"/>
      <c r="C126" s="14" t="s">
        <v>49</v>
      </c>
      <c r="D126" s="14"/>
    </row>
    <row r="127" spans="1:4" ht="14.25" thickBot="1" x14ac:dyDescent="0.25">
      <c r="A127" s="76" t="s">
        <v>22</v>
      </c>
      <c r="B127" s="76">
        <f>SUM(B117:B126)</f>
        <v>12</v>
      </c>
      <c r="C127" s="105" t="s">
        <v>69</v>
      </c>
      <c r="D127" s="77"/>
    </row>
    <row r="128" spans="1:4" ht="14.25" x14ac:dyDescent="0.3">
      <c r="A128" s="78"/>
      <c r="B128" s="78"/>
      <c r="C128" s="78"/>
      <c r="D128" s="78"/>
    </row>
    <row r="129" spans="1:1" x14ac:dyDescent="0.2">
      <c r="A129"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2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27">
      <formula1>0</formula1>
      <formula2>NbPerWeek * NbQuartPer</formula2>
    </dataValidation>
    <dataValidation type="list" allowBlank="1" showInputMessage="1" showErrorMessage="1" sqref="A3:A17 A22:A36 A41:A55 A60:A74 A79:A93 A98:A112 A117:A126">
      <formula1>lstTasks</formula1>
    </dataValidation>
  </dataValidations>
  <hyperlinks>
    <hyperlink ref="D5" r:id="rId1"/>
    <hyperlink ref="D23" r:id="rId2"/>
    <hyperlink ref="D61" r:id="rId3"/>
    <hyperlink ref="D24" r:id="rId4"/>
    <hyperlink ref="D43" r:id="rId5"/>
    <hyperlink ref="D62" r:id="rId6"/>
    <hyperlink ref="D81" r:id="rId7"/>
    <hyperlink ref="D82" r:id="rId8"/>
    <hyperlink ref="D99" r:id="rId9"/>
    <hyperlink ref="D100" r:id="rId10"/>
    <hyperlink ref="D118" r:id="rId11"/>
    <hyperlink ref="D122" r:id="rId12"/>
  </hyperlinks>
  <printOptions horizontalCentered="1" verticalCentered="1"/>
  <pageMargins left="0.25" right="0.25" top="0.75" bottom="0.75" header="0.3" footer="0.3"/>
  <pageSetup paperSize="9" scale="61" fitToHeight="0" orientation="portrait" cellComments="atEnd" r:id="rId13"/>
  <headerFooter>
    <oddHeader>&amp;L&amp;"ETML L,Normal"&amp;24ETML</oddHeader>
    <oddFooter>&amp;C&amp;F&amp;L&amp;D</oddFooter>
  </headerFooter>
  <drawing r:id="rId14"/>
  <legacyDrawing r:id="rId15"/>
  <controls>
    <mc:AlternateContent xmlns:mc="http://schemas.openxmlformats.org/markup-compatibility/2006">
      <mc:Choice Requires="x14">
        <control shapeId="43009" r:id="rId16" name="btnImportRealisation">
          <controlPr defaultSize="0" autoLine="0" r:id="rId17">
            <anchor moveWithCells="1">
              <from>
                <xdr:col>4</xdr:col>
                <xdr:colOff>590550</xdr:colOff>
                <xdr:row>0</xdr:row>
                <xdr:rowOff>180975</xdr:rowOff>
              </from>
              <to>
                <xdr:col>7</xdr:col>
                <xdr:colOff>257175</xdr:colOff>
                <xdr:row>2</xdr:row>
                <xdr:rowOff>152400</xdr:rowOff>
              </to>
            </anchor>
          </controlPr>
        </control>
      </mc:Choice>
      <mc:Fallback>
        <control shapeId="43009" r:id="rId16"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2017-05-23T12:07:48Z</dcterms:modified>
  <cp:contentStatus>Version 8.0</cp:contentStatus>
</cp:coreProperties>
</file>